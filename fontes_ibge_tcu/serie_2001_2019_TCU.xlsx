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1"/>
  <workbookPr defaultThemeVersion="124226"/>
  <mc:AlternateContent xmlns:mc="http://schemas.openxmlformats.org/markup-compatibility/2006">
    <mc:Choice Requires="x15">
      <x15ac:absPath xmlns:x15ac="http://schemas.microsoft.com/office/spreadsheetml/2010/11/ac" url="D:\working\waccache\CP1PEPF00007312\EXCELCNV\cf805f87-93db-4bfe-873b-574e69e45c62\"/>
    </mc:Choice>
  </mc:AlternateContent>
  <xr:revisionPtr revIDLastSave="0" documentId="8_{10C9BD37-1FD6-48B3-B746-265E754839E9}" xr6:coauthVersionLast="47" xr6:coauthVersionMax="47" xr10:uidLastSave="{00000000-0000-0000-0000-000000000000}"/>
  <bookViews>
    <workbookView xWindow="-60" yWindow="-60" windowWidth="15480" windowHeight="11640" xr2:uid="{50A9495F-4A42-4899-8929-911177AC64BE}"/>
  </bookViews>
  <sheets>
    <sheet name="Plan1" sheetId="1" r:id="rId1"/>
    <sheet name="Plan2" sheetId="2" r:id="rId2"/>
    <sheet name="Plan3" sheetId="3" r:id="rId3"/>
  </sheets>
  <calcPr calcId="191028" iterate="1" iterateCount="1000"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1" l="1"/>
  <c r="C8" i="1"/>
  <c r="D8" i="1"/>
  <c r="E8" i="1"/>
  <c r="F8" i="1"/>
  <c r="G8" i="1"/>
  <c r="H8" i="1"/>
  <c r="K8" i="1"/>
  <c r="B16" i="1"/>
  <c r="C16" i="1"/>
  <c r="D16" i="1"/>
  <c r="E16" i="1"/>
  <c r="F16" i="1"/>
  <c r="G16" i="1"/>
  <c r="H16" i="1"/>
  <c r="K16" i="1"/>
  <c r="B26" i="1"/>
  <c r="C26" i="1"/>
  <c r="D26" i="1"/>
  <c r="E26" i="1"/>
  <c r="F26" i="1"/>
  <c r="G26" i="1"/>
  <c r="H26" i="1"/>
  <c r="K26" i="1"/>
  <c r="B31" i="1"/>
  <c r="C31" i="1"/>
  <c r="D31" i="1"/>
  <c r="E31" i="1"/>
  <c r="F31" i="1"/>
  <c r="G31" i="1"/>
  <c r="H31" i="1"/>
  <c r="K31" i="1"/>
  <c r="B35" i="1"/>
  <c r="C35" i="1"/>
  <c r="D35" i="1"/>
  <c r="E35" i="1"/>
  <c r="F35" i="1"/>
  <c r="G35" i="1"/>
  <c r="H35" i="1"/>
  <c r="K35" i="1"/>
  <c r="K7" i="1" l="1"/>
  <c r="H7" i="1"/>
  <c r="G7" i="1"/>
  <c r="F7" i="1"/>
  <c r="E7" i="1"/>
  <c r="D7" i="1"/>
  <c r="C7" i="1"/>
  <c r="B7" i="1"/>
</calcChain>
</file>

<file path=xl/sharedStrings.xml><?xml version="1.0" encoding="utf-8"?>
<sst xmlns="http://schemas.openxmlformats.org/spreadsheetml/2006/main" count="48" uniqueCount="48">
  <si>
    <t>População residente enviada ao Tribunal de Contas da União</t>
  </si>
  <si>
    <t>Brasil, Grandes Regiões e Unidades da Federação - 2001-2019</t>
  </si>
  <si>
    <t>Brasil, Grandes Regiões e</t>
  </si>
  <si>
    <t>População enviada ao Tribunal de Contas da União</t>
  </si>
  <si>
    <t>Unidades da Federação</t>
  </si>
  <si>
    <t>Brasil</t>
  </si>
  <si>
    <t>Região Norte</t>
  </si>
  <si>
    <t>Rondônia</t>
  </si>
  <si>
    <t>Acre</t>
  </si>
  <si>
    <t>Amazonas</t>
  </si>
  <si>
    <t>Roraima</t>
  </si>
  <si>
    <t>Pará</t>
  </si>
  <si>
    <t>Amapá</t>
  </si>
  <si>
    <t>Tocantins</t>
  </si>
  <si>
    <t>Região Nordeste</t>
  </si>
  <si>
    <t>Maranhão</t>
  </si>
  <si>
    <t>Piauí</t>
  </si>
  <si>
    <t>Ceará</t>
  </si>
  <si>
    <t>Rio Grande do Norte</t>
  </si>
  <si>
    <t>Paraíba</t>
  </si>
  <si>
    <t>Pernambuco</t>
  </si>
  <si>
    <t>Alagoas</t>
  </si>
  <si>
    <t>Sergipe</t>
  </si>
  <si>
    <t>Bahia</t>
  </si>
  <si>
    <t>Região Sudeste</t>
  </si>
  <si>
    <t>Minas Gerais</t>
  </si>
  <si>
    <t>Espírito Santo</t>
  </si>
  <si>
    <t>Rio de Janeiro</t>
  </si>
  <si>
    <t>São Paulo</t>
  </si>
  <si>
    <t>Região Sul</t>
  </si>
  <si>
    <t>Paraná</t>
  </si>
  <si>
    <t>Santa Catarina</t>
  </si>
  <si>
    <t>Rio Grande do Sul</t>
  </si>
  <si>
    <t>Região Centro-Oeste</t>
  </si>
  <si>
    <t>Mato Grosso do Sul</t>
  </si>
  <si>
    <t>Mato Grosso</t>
  </si>
  <si>
    <t>Goiás</t>
  </si>
  <si>
    <t>Distrito Federal</t>
  </si>
  <si>
    <t>Fonte: IBGE. Diretoria de Pesquisas, Coordenação de População e Indicadores Sociais.</t>
  </si>
  <si>
    <t>Nota técnica: Para cumprimento do Artigo 102 da Lei Orgânica nº 8443 do Tribunal de Contas da União (TCU), de 16 de julho de 1992, as populações enviadas ao TCU obedeceram aos seguintes critérios:</t>
  </si>
  <si>
    <t>1) 2001 a 2003: estimativas das populações residentes municipais calculadas com base na Projeção Populacional para o Brasil - Revisão 2000. Os dados podem ser consultados em: https://www.ibge.gov.br/estatisticas/sociais/populacao/9103-estimativas-de-populacao.html?=&amp;t=downloads</t>
  </si>
  <si>
    <t>2) 2004 a 2006: estimativas das populações residentes municipais calculadas com base na Projeção Populacional para o Brasil - Revisão 2004. Os dados podem ser consultados em: https://www.ibge.gov.br/estatisticas/sociais/populacao/9103-estimativas-de-populacao.html?=&amp;t=downloads</t>
  </si>
  <si>
    <t>3) 2007: População residente obtida da Contagem Populacional 2007 para 5543 municípios e populações estimadas para 129 municípios, cuja metodologia pode ser consultada em: https://www.ibge.gov.br/estatisticas/sociais/populacao/9065-contagem-da-populacao.html?edicao=10189&amp;t=resultados</t>
  </si>
  <si>
    <t>4) 2008 e 2009: estimativas das populações residentes municipais calculadas com base na Projeção Populacional para o Brasil - Revisão 2008. Notas metodológicas podem ser consultadas em: https://www.ibge.gov.br/estatisticas/sociais/populacao/9103-estimativas-de-populacao.html?=&amp;t=notas-tecnicas</t>
  </si>
  <si>
    <t>5) 2010: População residente obtida do Censo Demográfico 2010, cujo resultado pode ser consultado em: http://www.ibge.gov.br/home/estatistica/populacao/censo2010/primeiros_resultados/default_primeiros_resultados.shtm</t>
  </si>
  <si>
    <t>6) 2011 e 2012: estimativas das populações residentes municipais calculadas com base na Projeção Populacional para o Brasil. Notas metodológicas podem ser consultadas em: https://www.ibge.gov.br/estatisticas/sociais/populacao/9103-estimativas-de-populacao.html?=&amp;t=notas-tecnicas</t>
  </si>
  <si>
    <t>7) 2013 a 2017:  estimativas das populações residentes municipais calculadas com base na Projeção da população para o Brasil e Unidades da Federação, por sexo e idade,2013. Notas metodológicas podem ser consultadas em: https://www.ibge.gov.br/estatisticas/sociais/populacao/9103-estimativas-de-populacao.html?=&amp;t=notas-tecnicas</t>
  </si>
  <si>
    <t>8) 2018 e 2019 :estimativas das populações residentes municipais calculadas com base na Projeção da população para o Brasil e Unidades da Federação, por sexo e idade,Revisão 2018. Notas metodológicas podem ser consultadas em: https://www.ibge.gov.br/estatisticas/sociais/populacao/9103-estimativas-de-populacao.html?=&amp;t=notas-tecnicas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</si>
</sst>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R$-416]&quot; &quot;#,##0.00;[Red]&quot;-&quot;[$R$-416]&quot; &quot;#,##0.00"/>
    <numFmt numFmtId="166" formatCode="0.0%"/>
  </numFmts>
  <fonts count="32">
    <font>
      <sz val="11"/>
      <color indexed="8"/>
      <name val="Calibri"/>
      <family val="2"/>
      <charset val="1"/>
    </font>
    <font>
      <sz val="10"/>
      <name val="Arial"/>
    </font>
    <font>
      <sz val="10"/>
      <color indexed="8"/>
      <name val="Calibri"/>
      <family val="2"/>
    </font>
    <font>
      <sz val="10"/>
      <name val="Calibri"/>
      <family val="2"/>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1"/>
      <color indexed="8"/>
      <name val="Calibri"/>
      <family val="2"/>
    </font>
    <font>
      <sz val="10"/>
      <color indexed="10"/>
      <name val="Calibri"/>
      <family val="2"/>
    </font>
    <font>
      <b/>
      <sz val="10"/>
      <name val="Calibri"/>
      <family val="2"/>
    </font>
    <font>
      <sz val="10"/>
      <color indexed="10"/>
      <name val="Calibri"/>
      <family val="2"/>
    </font>
    <font>
      <sz val="10"/>
      <name val="Bookman Old Style"/>
      <family val="1"/>
    </font>
    <font>
      <sz val="10"/>
      <name val="Arial"/>
      <family val="2"/>
    </font>
    <font>
      <b/>
      <sz val="11"/>
      <color indexed="8"/>
      <name val="Arial"/>
      <family val="2"/>
    </font>
    <font>
      <b/>
      <i/>
      <sz val="16"/>
      <color indexed="8"/>
      <name val="Arial"/>
      <family val="2"/>
    </font>
    <font>
      <b/>
      <i/>
      <u/>
      <sz val="11"/>
      <color indexed="8"/>
      <name val="Arial"/>
      <family val="2"/>
    </font>
    <font>
      <b/>
      <sz val="15"/>
      <color indexed="56"/>
      <name val="Calibri"/>
      <family val="2"/>
    </font>
    <font>
      <b/>
      <sz val="13"/>
      <color indexed="56"/>
      <name val="Calibri"/>
      <family val="2"/>
    </font>
    <font>
      <b/>
      <sz val="11"/>
      <color indexed="56"/>
      <name val="Calibri"/>
      <family val="2"/>
    </font>
    <font>
      <b/>
      <sz val="18"/>
      <color indexed="56"/>
      <name val="Cambria"/>
      <family val="2"/>
    </font>
    <font>
      <b/>
      <sz val="10"/>
      <color indexed="8"/>
      <name val="Calibri"/>
      <family val="2"/>
    </font>
    <font>
      <sz val="11"/>
      <color theme="1"/>
      <name val="Calibri"/>
      <family val="2"/>
      <scheme val="minor"/>
    </font>
    <font>
      <u/>
      <sz val="11"/>
      <color theme="10"/>
      <name val="Calibri"/>
      <family val="2"/>
      <charset val="1"/>
    </font>
  </fonts>
  <fills count="27">
    <fill>
      <patternFill patternType="none"/>
    </fill>
    <fill>
      <patternFill patternType="gray125"/>
    </fill>
    <fill>
      <patternFill patternType="solid">
        <fgColor indexed="31"/>
      </patternFill>
    </fill>
    <fill>
      <patternFill patternType="solid">
        <fgColor indexed="47"/>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22"/>
      </patternFill>
    </fill>
    <fill>
      <patternFill patternType="solid">
        <fgColor indexed="44"/>
      </patternFill>
    </fill>
    <fill>
      <patternFill patternType="solid">
        <fgColor indexed="29"/>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2"/>
        <bgColor indexed="42"/>
      </patternFill>
    </fill>
    <fill>
      <patternFill patternType="solid">
        <fgColor indexed="9"/>
        <bgColor indexed="31"/>
      </patternFill>
    </fill>
    <fill>
      <patternFill patternType="solid">
        <fgColor indexed="9"/>
        <bgColor indexed="26"/>
      </patternFill>
    </fill>
  </fills>
  <borders count="2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64"/>
      </left>
      <right/>
      <top/>
      <bottom/>
      <diagonal/>
    </border>
    <border>
      <left style="thin">
        <color indexed="8"/>
      </left>
      <right/>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6">
    <xf numFmtId="0" fontId="0" fillId="0" borderId="0"/>
    <xf numFmtId="0" fontId="4" fillId="2" borderId="0" applyNumberFormat="0" applyBorder="0" applyAlignment="0" applyProtection="0"/>
    <xf numFmtId="0" fontId="4" fillId="4"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3"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4" fillId="7" borderId="0" applyNumberFormat="0" applyBorder="0" applyAlignment="0" applyProtection="0"/>
    <xf numFmtId="0" fontId="4" fillId="10" borderId="0" applyNumberFormat="0" applyBorder="0" applyAlignment="0" applyProtection="0"/>
    <xf numFmtId="0" fontId="4" fillId="14" borderId="0" applyNumberFormat="0" applyBorder="0" applyAlignment="0" applyProtection="0"/>
    <xf numFmtId="0" fontId="5" fillId="16" borderId="0" applyNumberFormat="0" applyBorder="0" applyAlignment="0" applyProtection="0"/>
    <xf numFmtId="0" fontId="5" fillId="11" borderId="0" applyNumberFormat="0" applyBorder="0" applyAlignment="0" applyProtection="0"/>
    <xf numFmtId="0" fontId="5" fillId="13"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6" fillId="6" borderId="0" applyNumberFormat="0" applyBorder="0" applyAlignment="0" applyProtection="0"/>
    <xf numFmtId="0" fontId="7" fillId="9" borderId="1" applyNumberFormat="0" applyAlignment="0" applyProtection="0"/>
    <xf numFmtId="0" fontId="8" fillId="19" borderId="2" applyNumberFormat="0" applyAlignment="0" applyProtection="0"/>
    <xf numFmtId="0" fontId="9" fillId="0" borderId="3" applyNumberFormat="0" applyFill="0" applyAlignment="0" applyProtection="0"/>
    <xf numFmtId="0" fontId="5"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23" borderId="0" applyNumberFormat="0" applyBorder="0" applyAlignment="0" applyProtection="0"/>
    <xf numFmtId="0" fontId="10" fillId="3" borderId="1" applyNumberFormat="0" applyAlignment="0" applyProtection="0"/>
    <xf numFmtId="0" fontId="22" fillId="24" borderId="0"/>
    <xf numFmtId="0" fontId="23" fillId="0" borderId="0">
      <alignment horizontal="center"/>
    </xf>
    <xf numFmtId="0" fontId="23" fillId="0" borderId="0">
      <alignment horizontal="center" textRotation="90"/>
    </xf>
    <xf numFmtId="0" fontId="31" fillId="0" borderId="0" applyNumberFormat="0" applyFill="0" applyBorder="0" applyAlignment="0" applyProtection="0"/>
    <xf numFmtId="0" fontId="11" fillId="4" borderId="0" applyNumberFormat="0" applyBorder="0" applyAlignment="0" applyProtection="0"/>
    <xf numFmtId="0" fontId="12" fillId="12" borderId="0" applyNumberFormat="0" applyBorder="0" applyAlignment="0" applyProtection="0"/>
    <xf numFmtId="0" fontId="21" fillId="0" borderId="0"/>
    <xf numFmtId="0" fontId="20" fillId="0" borderId="0"/>
    <xf numFmtId="0" fontId="20" fillId="0" borderId="0"/>
    <xf numFmtId="0" fontId="2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0" fillId="0" borderId="0"/>
    <xf numFmtId="0" fontId="30" fillId="0" borderId="0"/>
    <xf numFmtId="0" fontId="20" fillId="0" borderId="0"/>
    <xf numFmtId="0" fontId="21" fillId="5" borderId="4" applyNumberFormat="0" applyFont="0" applyAlignment="0" applyProtection="0"/>
    <xf numFmtId="9" fontId="1" fillId="0" borderId="0" applyFill="0" applyBorder="0" applyAlignment="0" applyProtection="0"/>
    <xf numFmtId="9" fontId="21" fillId="0" borderId="0" applyFill="0" applyBorder="0" applyAlignment="0" applyProtection="0"/>
    <xf numFmtId="9" fontId="20" fillId="0" borderId="0" applyFont="0" applyFill="0" applyBorder="0" applyAlignment="0" applyProtection="0"/>
    <xf numFmtId="9" fontId="30" fillId="0" borderId="0" applyFont="0" applyFill="0" applyBorder="0" applyAlignment="0" applyProtection="0"/>
    <xf numFmtId="0" fontId="24" fillId="0" borderId="0"/>
    <xf numFmtId="165" fontId="24" fillId="0" borderId="0"/>
    <xf numFmtId="0" fontId="13" fillId="9" borderId="5" applyNumberFormat="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25" fillId="0" borderId="6" applyNumberFormat="0" applyFill="0" applyAlignment="0" applyProtection="0"/>
    <xf numFmtId="0" fontId="26" fillId="0" borderId="7" applyNumberFormat="0" applyFill="0" applyAlignment="0" applyProtection="0"/>
    <xf numFmtId="0" fontId="27" fillId="0" borderId="8" applyNumberFormat="0" applyFill="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16" fillId="0" borderId="9" applyNumberFormat="0" applyFill="0" applyAlignment="0" applyProtection="0"/>
    <xf numFmtId="164" fontId="20" fillId="0" borderId="0" applyFont="0" applyFill="0" applyBorder="0" applyAlignment="0" applyProtection="0"/>
  </cellStyleXfs>
  <cellXfs count="45">
    <xf numFmtId="0" fontId="0" fillId="0" borderId="0" xfId="0"/>
    <xf numFmtId="0" fontId="2" fillId="0" borderId="0" xfId="0" applyFont="1"/>
    <xf numFmtId="0" fontId="2" fillId="0" borderId="0" xfId="0" applyFont="1" applyBorder="1"/>
    <xf numFmtId="0" fontId="17" fillId="0" borderId="0" xfId="0" applyFont="1"/>
    <xf numFmtId="0" fontId="18" fillId="25" borderId="0" xfId="0" applyFont="1" applyFill="1" applyBorder="1" applyAlignment="1">
      <alignment horizontal="center" vertical="center"/>
    </xf>
    <xf numFmtId="0" fontId="18" fillId="25" borderId="0" xfId="0" applyFont="1" applyFill="1" applyBorder="1" applyAlignment="1">
      <alignment vertical="center"/>
    </xf>
    <xf numFmtId="0" fontId="19" fillId="0" borderId="0" xfId="0" applyFont="1"/>
    <xf numFmtId="0" fontId="3" fillId="26" borderId="0" xfId="0" applyFont="1" applyFill="1" applyBorder="1" applyAlignment="1">
      <alignment vertical="center"/>
    </xf>
    <xf numFmtId="3" fontId="29" fillId="0" borderId="12" xfId="0" applyNumberFormat="1" applyFont="1" applyBorder="1"/>
    <xf numFmtId="3" fontId="29" fillId="0" borderId="0" xfId="0" applyNumberFormat="1" applyFont="1" applyBorder="1"/>
    <xf numFmtId="3" fontId="18" fillId="0" borderId="0" xfId="0" applyNumberFormat="1" applyFont="1" applyFill="1" applyBorder="1"/>
    <xf numFmtId="3" fontId="18" fillId="0" borderId="0" xfId="0" applyNumberFormat="1" applyFont="1" applyBorder="1"/>
    <xf numFmtId="3" fontId="2" fillId="0" borderId="0" xfId="0" applyNumberFormat="1" applyFont="1" applyBorder="1" applyAlignment="1">
      <alignment horizontal="right"/>
    </xf>
    <xf numFmtId="0" fontId="17" fillId="0" borderId="0" xfId="0" applyFont="1" applyBorder="1"/>
    <xf numFmtId="3" fontId="2" fillId="0" borderId="0" xfId="0" applyNumberFormat="1" applyFont="1" applyBorder="1"/>
    <xf numFmtId="3" fontId="2" fillId="0" borderId="10" xfId="0" applyNumberFormat="1" applyFont="1" applyBorder="1" applyAlignment="1">
      <alignment horizontal="right"/>
    </xf>
    <xf numFmtId="0" fontId="2" fillId="0" borderId="0" xfId="0" applyFont="1" applyAlignment="1">
      <alignment horizontal="left"/>
    </xf>
    <xf numFmtId="166" fontId="1" fillId="0" borderId="0" xfId="50" applyNumberFormat="1" applyBorder="1"/>
    <xf numFmtId="0" fontId="2" fillId="0" borderId="0" xfId="0" applyFont="1" applyBorder="1" applyAlignment="1">
      <alignment horizontal="center"/>
    </xf>
    <xf numFmtId="0" fontId="2" fillId="0" borderId="0" xfId="0" applyFont="1" applyAlignment="1">
      <alignment horizontal="left" vertical="center" wrapText="1"/>
    </xf>
    <xf numFmtId="0" fontId="31" fillId="0" borderId="0" xfId="33" applyAlignment="1">
      <alignment horizontal="left" vertical="center" wrapText="1"/>
    </xf>
    <xf numFmtId="0" fontId="2" fillId="0" borderId="0" xfId="0" applyFont="1" applyAlignment="1">
      <alignment horizontal="left" vertical="justify" wrapText="1"/>
    </xf>
    <xf numFmtId="0" fontId="2" fillId="0" borderId="0" xfId="0" applyFont="1" applyBorder="1" applyAlignment="1">
      <alignment horizontal="center"/>
    </xf>
    <xf numFmtId="0" fontId="2" fillId="0" borderId="0" xfId="0" applyFont="1" applyAlignment="1">
      <alignment horizontal="left" vertical="justify"/>
    </xf>
    <xf numFmtId="0" fontId="2" fillId="0" borderId="10" xfId="0" applyFont="1" applyBorder="1"/>
    <xf numFmtId="0" fontId="2" fillId="0" borderId="0" xfId="0" applyFont="1" applyAlignment="1">
      <alignment horizontal="center"/>
    </xf>
    <xf numFmtId="0" fontId="2" fillId="0" borderId="17" xfId="0" applyFont="1" applyBorder="1" applyAlignment="1">
      <alignment horizontal="center"/>
    </xf>
    <xf numFmtId="0" fontId="2" fillId="0" borderId="18" xfId="0" applyFont="1" applyBorder="1" applyAlignment="1">
      <alignment horizontal="center"/>
    </xf>
    <xf numFmtId="0" fontId="2" fillId="0" borderId="19" xfId="0" applyFont="1" applyBorder="1" applyAlignment="1">
      <alignment horizontal="center"/>
    </xf>
    <xf numFmtId="0" fontId="2" fillId="0" borderId="10" xfId="0" applyFont="1" applyBorder="1" applyAlignment="1">
      <alignment horizontal="center"/>
    </xf>
    <xf numFmtId="0" fontId="2" fillId="0" borderId="15" xfId="0" applyFont="1" applyBorder="1" applyAlignment="1">
      <alignment horizontal="center"/>
    </xf>
    <xf numFmtId="0" fontId="3" fillId="0" borderId="15" xfId="0" applyFont="1" applyBorder="1" applyAlignment="1">
      <alignment horizontal="center"/>
    </xf>
    <xf numFmtId="0" fontId="2" fillId="0" borderId="16" xfId="0" applyFont="1" applyBorder="1" applyAlignment="1">
      <alignment horizontal="center"/>
    </xf>
    <xf numFmtId="0" fontId="2" fillId="0" borderId="17" xfId="0" applyFont="1" applyBorder="1" applyAlignment="1">
      <alignment horizontal="center"/>
    </xf>
    <xf numFmtId="0" fontId="2" fillId="0" borderId="11" xfId="0" applyFont="1" applyBorder="1"/>
    <xf numFmtId="0" fontId="3" fillId="0" borderId="0" xfId="0" applyFont="1"/>
    <xf numFmtId="3" fontId="2" fillId="0" borderId="12" xfId="0" applyNumberFormat="1" applyFont="1" applyBorder="1"/>
    <xf numFmtId="3" fontId="3" fillId="0" borderId="0" xfId="0" applyNumberFormat="1" applyFont="1" applyFill="1" applyBorder="1"/>
    <xf numFmtId="3" fontId="3" fillId="0" borderId="0" xfId="0" applyNumberFormat="1" applyFont="1" applyBorder="1"/>
    <xf numFmtId="3" fontId="2" fillId="0" borderId="13" xfId="0" applyNumberFormat="1" applyFont="1" applyBorder="1"/>
    <xf numFmtId="0" fontId="3" fillId="26" borderId="10" xfId="0" applyFont="1" applyFill="1" applyBorder="1" applyAlignment="1">
      <alignment vertical="center"/>
    </xf>
    <xf numFmtId="3" fontId="2" fillId="0" borderId="14" xfId="0" applyNumberFormat="1" applyFont="1" applyBorder="1"/>
    <xf numFmtId="3" fontId="2" fillId="0" borderId="10" xfId="0" applyNumberFormat="1" applyFont="1" applyBorder="1"/>
    <xf numFmtId="3" fontId="3" fillId="0" borderId="10" xfId="0" applyNumberFormat="1" applyFont="1" applyFill="1" applyBorder="1"/>
    <xf numFmtId="3" fontId="3" fillId="0" borderId="10" xfId="0" applyNumberFormat="1" applyFont="1" applyBorder="1"/>
  </cellXfs>
  <cellStyles count="66">
    <cellStyle name="20% - Ênfase1 2" xfId="1" xr:uid="{0AF19B9F-1EAA-4FFF-9E4B-0A1DA8F1F2A1}"/>
    <cellStyle name="20% - Ênfase2 2" xfId="2" xr:uid="{221A41F0-2A75-4807-92FF-4107379964D0}"/>
    <cellStyle name="20% - Ênfase3 2" xfId="3" xr:uid="{8B4B860A-839B-486E-9358-E188C3A24974}"/>
    <cellStyle name="20% - Ênfase4 2" xfId="4" xr:uid="{AED7E557-30B6-4CD7-82DE-0769EB02EDE4}"/>
    <cellStyle name="20% - Ênfase5 2" xfId="5" xr:uid="{35B2D883-4739-4D0B-BECF-A390D4BB8577}"/>
    <cellStyle name="20% - Ênfase6 2" xfId="6" xr:uid="{6A28F3E4-4286-40AC-9CC7-A3CF091612C6}"/>
    <cellStyle name="40% - Ênfase1 2" xfId="7" xr:uid="{4143BDD9-C1DE-47AC-84BC-B9AED2F6DD80}"/>
    <cellStyle name="40% - Ênfase2 2" xfId="8" xr:uid="{C0D180C4-EE46-4284-92B1-84335A755672}"/>
    <cellStyle name="40% - Ênfase3 2" xfId="9" xr:uid="{7E426889-1BD7-4425-A575-862514FF4716}"/>
    <cellStyle name="40% - Ênfase4 2" xfId="10" xr:uid="{CF4D9DA3-3D77-470A-9741-F50BD7F5D6E9}"/>
    <cellStyle name="40% - Ênfase5 2" xfId="11" xr:uid="{817D1326-58DC-44CA-AA50-E75E109B4402}"/>
    <cellStyle name="40% - Ênfase6 2" xfId="12" xr:uid="{CF3CACD8-B86A-493E-87BF-7A853736B4C3}"/>
    <cellStyle name="60% - Ênfase1 2" xfId="13" xr:uid="{8041CAB4-4AE3-4237-BFC0-2B3B2CEECE25}"/>
    <cellStyle name="60% - Ênfase2 2" xfId="14" xr:uid="{6CFA7B68-FEF7-4B12-A5A8-A42787529C60}"/>
    <cellStyle name="60% - Ênfase3 2" xfId="15" xr:uid="{725C986F-B660-4CF2-AF7B-C54D1B81EFAC}"/>
    <cellStyle name="60% - Ênfase4 2" xfId="16" xr:uid="{34988E86-DBA6-4A42-B6C4-D4BE75073F20}"/>
    <cellStyle name="60% - Ênfase5 2" xfId="17" xr:uid="{C5B8C01C-9849-43B1-86ED-D1D35712EB8F}"/>
    <cellStyle name="60% - Ênfase6 2" xfId="18" xr:uid="{DDAA5EF6-BA9C-45BA-866E-85BCECD54474}"/>
    <cellStyle name="Bom 2" xfId="19" xr:uid="{26588A09-7161-4A30-BF9C-EF6C012C5344}"/>
    <cellStyle name="Cálculo 2" xfId="20" xr:uid="{01594E55-741A-46A6-8B54-9962273A339D}"/>
    <cellStyle name="Célula de Verificação 2" xfId="21" xr:uid="{88679C1E-4972-48B3-97BD-12A2FB4EC683}"/>
    <cellStyle name="Célula Vinculada 2" xfId="22" xr:uid="{7C01C2BF-DA37-44CD-B11B-ACE907CE4BAA}"/>
    <cellStyle name="Ênfase1 2" xfId="23" xr:uid="{EF950F4D-3383-4C13-A610-B71A8577859B}"/>
    <cellStyle name="Ênfase2 2" xfId="24" xr:uid="{01C64006-07B9-44B0-8C66-6CCD92563F34}"/>
    <cellStyle name="Ênfase3 2" xfId="25" xr:uid="{64F93530-080B-437D-8DB2-241D94691ABC}"/>
    <cellStyle name="Ênfase4 2" xfId="26" xr:uid="{93B588E9-3480-4051-86B6-27CFAF843B98}"/>
    <cellStyle name="Ênfase5 2" xfId="27" xr:uid="{29733BC5-C031-4755-BBF0-52DB2D6BDCF0}"/>
    <cellStyle name="Ênfase6 2" xfId="28" xr:uid="{26EE55BE-FECA-4231-BA03-35988E02B028}"/>
    <cellStyle name="Entrada 2" xfId="29" xr:uid="{D08B2960-0EFE-4443-A651-307A23D562FF}"/>
    <cellStyle name="Excel_CondFormat_1_1_1" xfId="30" xr:uid="{117F8B29-FDD3-4F34-B9AC-8B561AF45F3D}"/>
    <cellStyle name="Heading" xfId="31" xr:uid="{EE2C000C-C371-4930-829D-6A7C7DEC5562}"/>
    <cellStyle name="Heading1" xfId="32" xr:uid="{360B3603-C836-45EF-8D6B-B7F4657F2031}"/>
    <cellStyle name="Hiperlink" xfId="33" builtinId="8"/>
    <cellStyle name="Incorreto 2" xfId="34" xr:uid="{7D6CDEB9-178C-49E4-9B5C-DB26E7A1A9BD}"/>
    <cellStyle name="Neutra 2" xfId="35" xr:uid="{BF103706-8D8F-44FB-959C-1584CB6ABD38}"/>
    <cellStyle name="Normal" xfId="0" builtinId="0"/>
    <cellStyle name="Normal 2" xfId="36" xr:uid="{A4EE9CEE-0DB4-422A-A003-931DD3473C60}"/>
    <cellStyle name="Normal 3" xfId="37" xr:uid="{67AC5040-89A3-432A-96F4-F951685D2243}"/>
    <cellStyle name="Normal 3 2" xfId="38" xr:uid="{0A38861B-D223-4B3A-8BBE-6E59FBECF312}"/>
    <cellStyle name="Normal 4" xfId="39" xr:uid="{44211607-08AE-4C85-881E-BA1E6FB83901}"/>
    <cellStyle name="Normal 5" xfId="40" xr:uid="{5A33A182-D91C-4B4F-9006-A4C87E6943BB}"/>
    <cellStyle name="Normal 5 2" xfId="41" xr:uid="{B9A3F978-BEDE-4E22-9A22-BE1003A78DF9}"/>
    <cellStyle name="Normal 5 2 2" xfId="42" xr:uid="{1D01D71C-B2C8-4690-833F-5420ED2CCE87}"/>
    <cellStyle name="Normal 5 3" xfId="43" xr:uid="{1B50E295-5E6F-4664-A4F6-BAD3CE9F75B2}"/>
    <cellStyle name="Normal 6" xfId="44" xr:uid="{D02C748C-B143-4CA3-BFA5-315C4EB0EDBC}"/>
    <cellStyle name="Normal 6 2" xfId="45" xr:uid="{040F5631-D32D-4933-96D4-BD4976277DDB}"/>
    <cellStyle name="Normal 7" xfId="46" xr:uid="{38F66198-5EA1-4322-8DCB-81DCD597DA7F}"/>
    <cellStyle name="Normal 8" xfId="47" xr:uid="{34443948-4407-462D-B228-DC1847D8DB98}"/>
    <cellStyle name="Normal 9" xfId="48" xr:uid="{ADE7315E-0896-4203-9FE7-AFCF248893BF}"/>
    <cellStyle name="Nota 2" xfId="49" xr:uid="{2093A9AE-4B86-4785-891B-3ED680E38099}"/>
    <cellStyle name="Porcentagem" xfId="50" builtinId="5"/>
    <cellStyle name="Porcentagem 2" xfId="51" xr:uid="{0A7B759A-3B7C-42B7-9A92-D6B6F7327EA1}"/>
    <cellStyle name="Porcentagem 3" xfId="52" xr:uid="{DE74908F-97D8-44FC-A5D1-E34CE264C786}"/>
    <cellStyle name="Porcentagem 4" xfId="53" xr:uid="{671A7F08-7A39-49E1-A29D-F30CB76A9CBB}"/>
    <cellStyle name="Result" xfId="54" xr:uid="{0CDEE2A5-6402-4EAC-8DA2-151A783A6A12}"/>
    <cellStyle name="Result2" xfId="55" xr:uid="{2D44ECC3-4C25-4559-A16C-12F59C401C10}"/>
    <cellStyle name="Saída 2" xfId="56" xr:uid="{270B81DD-FC4B-442B-9137-102EE708AFB5}"/>
    <cellStyle name="Texto de Aviso 2" xfId="57" xr:uid="{3F9E3612-AE6F-4E23-BBF0-7688B0F0BF1C}"/>
    <cellStyle name="Texto Explicativo 2" xfId="58" xr:uid="{ABDE4CB6-C045-493E-BC1B-B746CC8D443A}"/>
    <cellStyle name="Título 1 2" xfId="59" xr:uid="{C46D840C-992A-4F7E-B8A7-927386043AF9}"/>
    <cellStyle name="Título 2 2" xfId="60" xr:uid="{72780823-335F-4060-94A9-3587260304F6}"/>
    <cellStyle name="Título 3 2" xfId="61" xr:uid="{5130478E-49A5-491B-B5D8-386BB236CD76}"/>
    <cellStyle name="Título 4 2" xfId="62" xr:uid="{A07A7177-8DA2-4162-9443-856964D5A5E1}"/>
    <cellStyle name="Título 5" xfId="63" xr:uid="{A1B4ABDD-3A1B-499D-B2B3-6428015F366D}"/>
    <cellStyle name="Total 2" xfId="64" xr:uid="{831967D2-C347-45AE-AAC2-DA3758E785BB}"/>
    <cellStyle name="Vírgula 2" xfId="65" xr:uid="{F490D422-EE9F-4F10-8195-986D6D666829}"/>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3167B-5634-4B7A-BEFC-9CCFB85C80D4}">
  <dimension ref="A1:U56"/>
  <sheetViews>
    <sheetView tabSelected="1" view="pageBreakPreview" zoomScaleNormal="100" zoomScaleSheetLayoutView="100" workbookViewId="0">
      <selection activeCell="T40" sqref="T40"/>
    </sheetView>
  </sheetViews>
  <sheetFormatPr defaultRowHeight="15"/>
  <cols>
    <col min="1" max="1" width="25.42578125" style="1" customWidth="1"/>
    <col min="2" max="2" width="12.28515625" style="1" bestFit="1" customWidth="1"/>
    <col min="3" max="3" width="12.5703125" style="1" bestFit="1" customWidth="1"/>
    <col min="4" max="5" width="11.5703125" style="1" bestFit="1" customWidth="1"/>
    <col min="6" max="6" width="12.28515625" style="1" bestFit="1" customWidth="1"/>
    <col min="7" max="7" width="12" style="1" bestFit="1" customWidth="1"/>
    <col min="8" max="8" width="11.5703125" style="6" bestFit="1" customWidth="1"/>
    <col min="9" max="9" width="11.85546875" style="1" bestFit="1" customWidth="1"/>
    <col min="10" max="10" width="12.28515625" style="1" bestFit="1" customWidth="1"/>
    <col min="11" max="11" width="11.85546875" style="6" bestFit="1" customWidth="1"/>
    <col min="12" max="12" width="12.28515625" style="1" bestFit="1" customWidth="1"/>
    <col min="13" max="13" width="12.7109375" style="1" bestFit="1" customWidth="1"/>
    <col min="14" max="14" width="11.140625" style="1" bestFit="1" customWidth="1"/>
    <col min="15" max="15" width="12.140625" style="1" bestFit="1" customWidth="1"/>
    <col min="16" max="16" width="10.85546875" style="1" bestFit="1" customWidth="1"/>
    <col min="17" max="17" width="12.140625" bestFit="1" customWidth="1"/>
    <col min="18" max="19" width="13.7109375" style="1" bestFit="1" customWidth="1"/>
    <col min="20" max="20" width="12" style="1" bestFit="1" customWidth="1"/>
    <col min="21" max="16384" width="9.140625" style="1"/>
  </cols>
  <sheetData>
    <row r="1" spans="1:21" ht="15" customHeight="1">
      <c r="A1" s="22" t="s">
        <v>0</v>
      </c>
      <c r="B1" s="22"/>
      <c r="C1" s="22"/>
      <c r="D1" s="22"/>
      <c r="E1" s="22"/>
      <c r="F1" s="22"/>
      <c r="G1" s="22"/>
      <c r="H1" s="22"/>
      <c r="I1" s="22"/>
      <c r="J1" s="22"/>
      <c r="K1" s="22"/>
      <c r="L1" s="22"/>
      <c r="M1" s="22"/>
      <c r="N1" s="22"/>
      <c r="O1" s="22"/>
      <c r="P1" s="22"/>
      <c r="Q1" s="22"/>
      <c r="R1" s="22"/>
      <c r="S1" s="22"/>
      <c r="T1" s="22"/>
    </row>
    <row r="2" spans="1:21" ht="15" customHeight="1">
      <c r="A2" s="22" t="s">
        <v>1</v>
      </c>
      <c r="B2" s="22"/>
      <c r="C2" s="22"/>
      <c r="D2" s="22"/>
      <c r="E2" s="22"/>
      <c r="F2" s="22"/>
      <c r="G2" s="22"/>
      <c r="H2" s="22"/>
      <c r="I2" s="22"/>
      <c r="J2" s="22"/>
      <c r="K2" s="22"/>
      <c r="L2" s="22"/>
      <c r="M2" s="22"/>
      <c r="N2" s="22"/>
      <c r="O2" s="22"/>
      <c r="P2" s="22"/>
      <c r="Q2" s="22"/>
      <c r="R2" s="22"/>
      <c r="S2" s="22"/>
      <c r="T2" s="22"/>
    </row>
    <row r="3" spans="1:21">
      <c r="A3" s="24"/>
      <c r="B3" s="2"/>
      <c r="C3" s="2"/>
      <c r="D3" s="2"/>
      <c r="E3" s="2"/>
      <c r="F3" s="2"/>
      <c r="G3" s="2"/>
      <c r="H3" s="13"/>
      <c r="I3" s="2"/>
      <c r="J3" s="2"/>
      <c r="K3" s="13"/>
      <c r="L3" s="2"/>
      <c r="M3" s="2"/>
      <c r="N3" s="2"/>
      <c r="O3" s="2"/>
    </row>
    <row r="4" spans="1:21" ht="15" customHeight="1">
      <c r="A4" s="25" t="s">
        <v>2</v>
      </c>
      <c r="B4" s="26" t="s">
        <v>3</v>
      </c>
      <c r="C4" s="27"/>
      <c r="D4" s="27"/>
      <c r="E4" s="27"/>
      <c r="F4" s="27"/>
      <c r="G4" s="27"/>
      <c r="H4" s="27"/>
      <c r="I4" s="27"/>
      <c r="J4" s="27"/>
      <c r="K4" s="27"/>
      <c r="L4" s="27"/>
      <c r="M4" s="27"/>
      <c r="N4" s="27"/>
      <c r="O4" s="27"/>
      <c r="P4" s="27"/>
      <c r="Q4" s="27"/>
      <c r="R4" s="27"/>
      <c r="S4" s="27"/>
      <c r="T4" s="28"/>
    </row>
    <row r="5" spans="1:21" ht="12.75">
      <c r="A5" s="29" t="s">
        <v>4</v>
      </c>
      <c r="B5" s="30">
        <v>2001</v>
      </c>
      <c r="C5" s="30">
        <v>2002</v>
      </c>
      <c r="D5" s="30">
        <v>2003</v>
      </c>
      <c r="E5" s="30">
        <v>2004</v>
      </c>
      <c r="F5" s="30">
        <v>2005</v>
      </c>
      <c r="G5" s="30">
        <v>2006</v>
      </c>
      <c r="H5" s="31">
        <v>2007</v>
      </c>
      <c r="I5" s="30">
        <v>2008</v>
      </c>
      <c r="J5" s="30">
        <v>2009</v>
      </c>
      <c r="K5" s="31">
        <v>2010</v>
      </c>
      <c r="L5" s="30">
        <v>2011</v>
      </c>
      <c r="M5" s="32">
        <v>2012</v>
      </c>
      <c r="N5" s="33">
        <v>2013</v>
      </c>
      <c r="O5" s="33">
        <v>2014</v>
      </c>
      <c r="P5" s="33">
        <v>2015</v>
      </c>
      <c r="Q5" s="33">
        <v>2016</v>
      </c>
      <c r="R5" s="33">
        <v>2017</v>
      </c>
      <c r="S5" s="33">
        <v>2018</v>
      </c>
      <c r="T5" s="33">
        <v>2019</v>
      </c>
    </row>
    <row r="6" spans="1:21">
      <c r="B6" s="34"/>
      <c r="H6" s="3"/>
      <c r="K6" s="35"/>
      <c r="N6" s="18"/>
      <c r="O6" s="18"/>
    </row>
    <row r="7" spans="1:21" s="2" customFormat="1" ht="12.75">
      <c r="A7" s="4" t="s">
        <v>5</v>
      </c>
      <c r="B7" s="8">
        <f t="shared" ref="B7:H7" si="0">+B8+B16+B26+B31+B35</f>
        <v>172385826</v>
      </c>
      <c r="C7" s="9">
        <f t="shared" si="0"/>
        <v>174632960</v>
      </c>
      <c r="D7" s="9">
        <f t="shared" si="0"/>
        <v>176871437</v>
      </c>
      <c r="E7" s="9">
        <f t="shared" si="0"/>
        <v>181581024</v>
      </c>
      <c r="F7" s="9">
        <f t="shared" si="0"/>
        <v>184184264</v>
      </c>
      <c r="G7" s="9">
        <f t="shared" si="0"/>
        <v>186770562</v>
      </c>
      <c r="H7" s="10">
        <f t="shared" si="0"/>
        <v>183989711</v>
      </c>
      <c r="I7" s="9">
        <v>189612814</v>
      </c>
      <c r="J7" s="9">
        <v>191480630</v>
      </c>
      <c r="K7" s="11">
        <f>+K8+K16+K26+K31+K35</f>
        <v>190747855</v>
      </c>
      <c r="L7" s="9">
        <v>192379287</v>
      </c>
      <c r="M7" s="9">
        <v>193946886</v>
      </c>
      <c r="N7" s="9">
        <v>201032714</v>
      </c>
      <c r="O7" s="9">
        <v>202768562</v>
      </c>
      <c r="P7" s="9">
        <v>204450649</v>
      </c>
      <c r="Q7" s="9">
        <v>206081432</v>
      </c>
      <c r="R7" s="9">
        <v>207660929</v>
      </c>
      <c r="S7" s="9">
        <v>208494900</v>
      </c>
      <c r="T7" s="9">
        <v>210147125</v>
      </c>
      <c r="U7" s="17"/>
    </row>
    <row r="8" spans="1:21" s="2" customFormat="1" ht="12.75">
      <c r="A8" s="5" t="s">
        <v>6</v>
      </c>
      <c r="B8" s="8">
        <f t="shared" ref="B8:H8" si="1">+B9+B10+B11+B12+B13+B14+B15</f>
        <v>13245084</v>
      </c>
      <c r="C8" s="9">
        <f t="shared" si="1"/>
        <v>13504599</v>
      </c>
      <c r="D8" s="9">
        <f t="shared" si="1"/>
        <v>13784881</v>
      </c>
      <c r="E8" s="9">
        <f t="shared" si="1"/>
        <v>14373260</v>
      </c>
      <c r="F8" s="9">
        <f t="shared" si="1"/>
        <v>14698878</v>
      </c>
      <c r="G8" s="9">
        <f t="shared" si="1"/>
        <v>15022060</v>
      </c>
      <c r="H8" s="10">
        <f t="shared" si="1"/>
        <v>14623317</v>
      </c>
      <c r="I8" s="9">
        <v>15142684</v>
      </c>
      <c r="J8" s="9">
        <v>15359608</v>
      </c>
      <c r="K8" s="11">
        <f>+K9+K10+K11+K12+K13+K14+K15</f>
        <v>15880839</v>
      </c>
      <c r="L8" s="9">
        <v>16095187</v>
      </c>
      <c r="M8" s="9">
        <v>16318163</v>
      </c>
      <c r="N8" s="9">
        <v>16983484</v>
      </c>
      <c r="O8" s="9">
        <v>17231027</v>
      </c>
      <c r="P8" s="9">
        <v>17472636</v>
      </c>
      <c r="Q8" s="9">
        <v>17707783</v>
      </c>
      <c r="R8" s="9">
        <v>17936201</v>
      </c>
      <c r="S8" s="9">
        <v>18182253</v>
      </c>
      <c r="T8" s="9">
        <v>18430980</v>
      </c>
    </row>
    <row r="9" spans="1:21" s="2" customFormat="1" ht="12.75">
      <c r="A9" s="7" t="s">
        <v>7</v>
      </c>
      <c r="B9" s="36">
        <v>1407886</v>
      </c>
      <c r="C9" s="14">
        <v>1431777</v>
      </c>
      <c r="D9" s="14">
        <v>1455907</v>
      </c>
      <c r="E9" s="14">
        <v>1562085</v>
      </c>
      <c r="F9" s="14">
        <v>1534594</v>
      </c>
      <c r="G9" s="14">
        <v>1562417</v>
      </c>
      <c r="H9" s="37">
        <v>1453756</v>
      </c>
      <c r="I9" s="14">
        <v>1493566</v>
      </c>
      <c r="J9" s="14">
        <v>1503928</v>
      </c>
      <c r="K9" s="38">
        <v>1560501</v>
      </c>
      <c r="L9" s="14">
        <v>1576455</v>
      </c>
      <c r="M9" s="14">
        <v>1590011</v>
      </c>
      <c r="N9" s="14">
        <v>1728214</v>
      </c>
      <c r="O9" s="14">
        <v>1748531</v>
      </c>
      <c r="P9" s="14">
        <v>1768204</v>
      </c>
      <c r="Q9" s="14">
        <v>1787279</v>
      </c>
      <c r="R9" s="14">
        <v>1805788</v>
      </c>
      <c r="S9" s="14">
        <v>1757589</v>
      </c>
      <c r="T9" s="14">
        <v>1777225</v>
      </c>
    </row>
    <row r="10" spans="1:21" s="2" customFormat="1" ht="12.75">
      <c r="A10" s="7" t="s">
        <v>8</v>
      </c>
      <c r="B10" s="36">
        <v>574355</v>
      </c>
      <c r="C10" s="14">
        <v>586942</v>
      </c>
      <c r="D10" s="14">
        <v>600595</v>
      </c>
      <c r="E10" s="14">
        <v>630328</v>
      </c>
      <c r="F10" s="14">
        <v>669736</v>
      </c>
      <c r="G10" s="14">
        <v>686652</v>
      </c>
      <c r="H10" s="37">
        <v>655385</v>
      </c>
      <c r="I10" s="14">
        <v>680073</v>
      </c>
      <c r="J10" s="14">
        <v>691132</v>
      </c>
      <c r="K10" s="38">
        <v>732793</v>
      </c>
      <c r="L10" s="14">
        <v>746386</v>
      </c>
      <c r="M10" s="14">
        <v>758786</v>
      </c>
      <c r="N10" s="14">
        <v>776463</v>
      </c>
      <c r="O10" s="14">
        <v>790101</v>
      </c>
      <c r="P10" s="14">
        <v>803513</v>
      </c>
      <c r="Q10" s="14">
        <v>816687</v>
      </c>
      <c r="R10" s="14">
        <v>829619</v>
      </c>
      <c r="S10" s="14">
        <v>869265</v>
      </c>
      <c r="T10" s="14">
        <v>881935</v>
      </c>
    </row>
    <row r="11" spans="1:21" s="2" customFormat="1" ht="12.75">
      <c r="A11" s="7" t="s">
        <v>9</v>
      </c>
      <c r="B11" s="36">
        <v>2900240</v>
      </c>
      <c r="C11" s="14">
        <v>2961801</v>
      </c>
      <c r="D11" s="14">
        <v>3031068</v>
      </c>
      <c r="E11" s="14">
        <v>3138726</v>
      </c>
      <c r="F11" s="14">
        <v>3232330</v>
      </c>
      <c r="G11" s="14">
        <v>3311026</v>
      </c>
      <c r="H11" s="37">
        <v>3221940</v>
      </c>
      <c r="I11" s="14">
        <v>3341096</v>
      </c>
      <c r="J11" s="14">
        <v>3393369</v>
      </c>
      <c r="K11" s="38">
        <v>3480937</v>
      </c>
      <c r="L11" s="14">
        <v>3538387</v>
      </c>
      <c r="M11" s="14">
        <v>3590985</v>
      </c>
      <c r="N11" s="14">
        <v>3807921</v>
      </c>
      <c r="O11" s="14">
        <v>3873743</v>
      </c>
      <c r="P11" s="14">
        <v>3938336</v>
      </c>
      <c r="Q11" s="14">
        <v>4001667</v>
      </c>
      <c r="R11" s="14">
        <v>4063614</v>
      </c>
      <c r="S11" s="14">
        <v>4080611</v>
      </c>
      <c r="T11" s="14">
        <v>4144597</v>
      </c>
    </row>
    <row r="12" spans="1:21" s="2" customFormat="1" ht="12.75">
      <c r="A12" s="7" t="s">
        <v>10</v>
      </c>
      <c r="B12" s="36">
        <v>337237</v>
      </c>
      <c r="C12" s="14">
        <v>346871</v>
      </c>
      <c r="D12" s="14">
        <v>357302</v>
      </c>
      <c r="E12" s="14">
        <v>381896</v>
      </c>
      <c r="F12" s="14">
        <v>391317</v>
      </c>
      <c r="G12" s="14">
        <v>403344</v>
      </c>
      <c r="H12" s="37">
        <v>395725</v>
      </c>
      <c r="I12" s="14">
        <v>412783</v>
      </c>
      <c r="J12" s="14">
        <v>421499</v>
      </c>
      <c r="K12" s="38">
        <v>451227</v>
      </c>
      <c r="L12" s="14">
        <v>460165</v>
      </c>
      <c r="M12" s="14">
        <v>469524</v>
      </c>
      <c r="N12" s="14">
        <v>488072</v>
      </c>
      <c r="O12" s="14">
        <v>496936</v>
      </c>
      <c r="P12" s="14">
        <v>505665</v>
      </c>
      <c r="Q12" s="14">
        <v>514229</v>
      </c>
      <c r="R12" s="14">
        <v>522636</v>
      </c>
      <c r="S12" s="14">
        <v>576568</v>
      </c>
      <c r="T12" s="14">
        <v>605761</v>
      </c>
    </row>
    <row r="13" spans="1:21" s="2" customFormat="1" ht="12.75">
      <c r="A13" s="7" t="s">
        <v>11</v>
      </c>
      <c r="B13" s="36">
        <v>6341736</v>
      </c>
      <c r="C13" s="14">
        <v>6453683</v>
      </c>
      <c r="D13" s="14">
        <v>6574993</v>
      </c>
      <c r="E13" s="14">
        <v>6850181</v>
      </c>
      <c r="F13" s="14">
        <v>6970586</v>
      </c>
      <c r="G13" s="14">
        <v>7110465</v>
      </c>
      <c r="H13" s="37">
        <v>7065573</v>
      </c>
      <c r="I13" s="14">
        <v>7321493</v>
      </c>
      <c r="J13" s="14">
        <v>7431020</v>
      </c>
      <c r="K13" s="38">
        <v>7603239</v>
      </c>
      <c r="L13" s="14">
        <v>7688593</v>
      </c>
      <c r="M13" s="14">
        <v>7792561</v>
      </c>
      <c r="N13" s="14">
        <v>7969654</v>
      </c>
      <c r="O13" s="14">
        <v>8073924</v>
      </c>
      <c r="P13" s="14">
        <v>8175113</v>
      </c>
      <c r="Q13" s="14">
        <v>8272724</v>
      </c>
      <c r="R13" s="14">
        <v>8366628</v>
      </c>
      <c r="S13" s="14">
        <v>8513497</v>
      </c>
      <c r="T13" s="14">
        <v>8602865</v>
      </c>
    </row>
    <row r="14" spans="1:21" s="2" customFormat="1" ht="12.75">
      <c r="A14" s="7" t="s">
        <v>12</v>
      </c>
      <c r="B14" s="36">
        <v>498735</v>
      </c>
      <c r="C14" s="14">
        <v>516511</v>
      </c>
      <c r="D14" s="14">
        <v>534835</v>
      </c>
      <c r="E14" s="14">
        <v>547400</v>
      </c>
      <c r="F14" s="14">
        <v>594587</v>
      </c>
      <c r="G14" s="14">
        <v>615715</v>
      </c>
      <c r="H14" s="37">
        <v>587311</v>
      </c>
      <c r="I14" s="14">
        <v>613164</v>
      </c>
      <c r="J14" s="14">
        <v>626609</v>
      </c>
      <c r="K14" s="38">
        <v>668689</v>
      </c>
      <c r="L14" s="14">
        <v>684309</v>
      </c>
      <c r="M14" s="14">
        <v>698602</v>
      </c>
      <c r="N14" s="14">
        <v>734996</v>
      </c>
      <c r="O14" s="14">
        <v>750912</v>
      </c>
      <c r="P14" s="14">
        <v>766679</v>
      </c>
      <c r="Q14" s="14">
        <v>782295</v>
      </c>
      <c r="R14" s="14">
        <v>797722</v>
      </c>
      <c r="S14" s="14">
        <v>829494</v>
      </c>
      <c r="T14" s="14">
        <v>845731</v>
      </c>
    </row>
    <row r="15" spans="1:21" s="2" customFormat="1" ht="12.75">
      <c r="A15" s="7" t="s">
        <v>13</v>
      </c>
      <c r="B15" s="36">
        <v>1184895</v>
      </c>
      <c r="C15" s="14">
        <v>1207014</v>
      </c>
      <c r="D15" s="14">
        <v>1230181</v>
      </c>
      <c r="E15" s="14">
        <v>1262644</v>
      </c>
      <c r="F15" s="14">
        <v>1305728</v>
      </c>
      <c r="G15" s="14">
        <v>1332441</v>
      </c>
      <c r="H15" s="37">
        <v>1243627</v>
      </c>
      <c r="I15" s="14">
        <v>1280509</v>
      </c>
      <c r="J15" s="14">
        <v>1292051</v>
      </c>
      <c r="K15" s="38">
        <v>1383453</v>
      </c>
      <c r="L15" s="14">
        <v>1400892</v>
      </c>
      <c r="M15" s="14">
        <v>1417694</v>
      </c>
      <c r="N15" s="14">
        <v>1478164</v>
      </c>
      <c r="O15" s="14">
        <v>1496880</v>
      </c>
      <c r="P15" s="14">
        <v>1515126</v>
      </c>
      <c r="Q15" s="14">
        <v>1532902</v>
      </c>
      <c r="R15" s="14">
        <v>1550194</v>
      </c>
      <c r="S15" s="14">
        <v>1555229</v>
      </c>
      <c r="T15" s="14">
        <v>1572866</v>
      </c>
    </row>
    <row r="16" spans="1:21" s="2" customFormat="1" ht="12.75">
      <c r="A16" s="5" t="s">
        <v>14</v>
      </c>
      <c r="B16" s="8">
        <f t="shared" ref="B16:H16" si="2">+B17+B18+B19+B20+B21+B22+B23+B24+B25</f>
        <v>48331186</v>
      </c>
      <c r="C16" s="9">
        <f t="shared" si="2"/>
        <v>48845112</v>
      </c>
      <c r="D16" s="9">
        <f t="shared" si="2"/>
        <v>49352225</v>
      </c>
      <c r="E16" s="9">
        <f t="shared" si="2"/>
        <v>50427274</v>
      </c>
      <c r="F16" s="9">
        <f t="shared" si="2"/>
        <v>51019091</v>
      </c>
      <c r="G16" s="9">
        <f t="shared" si="2"/>
        <v>51609027</v>
      </c>
      <c r="H16" s="10">
        <f t="shared" si="2"/>
        <v>51535782</v>
      </c>
      <c r="I16" s="9">
        <v>53088499</v>
      </c>
      <c r="J16" s="9">
        <v>53591197</v>
      </c>
      <c r="K16" s="11">
        <f>+K17+K18+K19+K20+K21+K22+K23+K24+K25</f>
        <v>53078137</v>
      </c>
      <c r="L16" s="9">
        <v>53501859</v>
      </c>
      <c r="M16" s="9">
        <v>53907144</v>
      </c>
      <c r="N16" s="9">
        <v>55794707</v>
      </c>
      <c r="O16" s="9">
        <v>56186190</v>
      </c>
      <c r="P16" s="9">
        <v>56560081</v>
      </c>
      <c r="Q16" s="9">
        <v>56915936</v>
      </c>
      <c r="R16" s="9">
        <v>57254159</v>
      </c>
      <c r="S16" s="9">
        <v>56760780</v>
      </c>
      <c r="T16" s="9">
        <v>57071654</v>
      </c>
    </row>
    <row r="17" spans="1:20" s="2" customFormat="1" ht="12.75">
      <c r="A17" s="7" t="s">
        <v>15</v>
      </c>
      <c r="B17" s="36">
        <v>5730467</v>
      </c>
      <c r="C17" s="14">
        <v>5803224</v>
      </c>
      <c r="D17" s="14">
        <v>5873655</v>
      </c>
      <c r="E17" s="14">
        <v>6021504</v>
      </c>
      <c r="F17" s="14">
        <v>6103327</v>
      </c>
      <c r="G17" s="14">
        <v>6184538</v>
      </c>
      <c r="H17" s="37">
        <v>6118995</v>
      </c>
      <c r="I17" s="14">
        <v>6305539</v>
      </c>
      <c r="J17" s="14">
        <v>6367138</v>
      </c>
      <c r="K17" s="38">
        <v>6569683</v>
      </c>
      <c r="L17" s="14">
        <v>6645761</v>
      </c>
      <c r="M17" s="14">
        <v>6714314</v>
      </c>
      <c r="N17" s="14">
        <v>6794301</v>
      </c>
      <c r="O17" s="14">
        <v>6850884</v>
      </c>
      <c r="P17" s="14">
        <v>6904241</v>
      </c>
      <c r="Q17" s="14">
        <v>6954036</v>
      </c>
      <c r="R17" s="14">
        <v>7000229</v>
      </c>
      <c r="S17" s="14">
        <v>7035055</v>
      </c>
      <c r="T17" s="14">
        <v>7075181</v>
      </c>
    </row>
    <row r="18" spans="1:20" s="2" customFormat="1" ht="12.75">
      <c r="A18" s="7" t="s">
        <v>16</v>
      </c>
      <c r="B18" s="36">
        <v>2873010</v>
      </c>
      <c r="C18" s="14">
        <v>2898223</v>
      </c>
      <c r="D18" s="14">
        <v>2923725</v>
      </c>
      <c r="E18" s="14">
        <v>2977259</v>
      </c>
      <c r="F18" s="14">
        <v>3006885</v>
      </c>
      <c r="G18" s="14">
        <v>3036290</v>
      </c>
      <c r="H18" s="37">
        <v>3032435</v>
      </c>
      <c r="I18" s="14">
        <v>3119697</v>
      </c>
      <c r="J18" s="14">
        <v>3145325</v>
      </c>
      <c r="K18" s="38">
        <v>3119015</v>
      </c>
      <c r="L18" s="14">
        <v>3140328</v>
      </c>
      <c r="M18" s="14">
        <v>3160748</v>
      </c>
      <c r="N18" s="14">
        <v>3184166</v>
      </c>
      <c r="O18" s="12">
        <v>3194718</v>
      </c>
      <c r="P18" s="12">
        <v>3204028</v>
      </c>
      <c r="Q18" s="12">
        <v>3212180</v>
      </c>
      <c r="R18" s="12">
        <v>3219257</v>
      </c>
      <c r="S18" s="12">
        <v>3264531</v>
      </c>
      <c r="T18" s="12">
        <v>3273227</v>
      </c>
    </row>
    <row r="19" spans="1:20" s="2" customFormat="1" ht="12.75">
      <c r="A19" s="7" t="s">
        <v>17</v>
      </c>
      <c r="B19" s="36">
        <v>7547620</v>
      </c>
      <c r="C19" s="14">
        <v>7654535</v>
      </c>
      <c r="D19" s="14">
        <v>7758441</v>
      </c>
      <c r="E19" s="14">
        <v>7976563</v>
      </c>
      <c r="F19" s="14">
        <v>8097276</v>
      </c>
      <c r="G19" s="14">
        <v>8217085</v>
      </c>
      <c r="H19" s="37">
        <v>8185250</v>
      </c>
      <c r="I19" s="14">
        <v>8450527</v>
      </c>
      <c r="J19" s="14">
        <v>8547809</v>
      </c>
      <c r="K19" s="38">
        <v>8448055</v>
      </c>
      <c r="L19" s="14">
        <v>8530155</v>
      </c>
      <c r="M19" s="14">
        <v>8606005</v>
      </c>
      <c r="N19" s="14">
        <v>8778576</v>
      </c>
      <c r="O19" s="12">
        <v>8842791</v>
      </c>
      <c r="P19" s="12">
        <v>8904459</v>
      </c>
      <c r="Q19" s="12">
        <v>8963663</v>
      </c>
      <c r="R19" s="12">
        <v>9020460</v>
      </c>
      <c r="S19" s="12">
        <v>9075649</v>
      </c>
      <c r="T19" s="12">
        <v>9132078</v>
      </c>
    </row>
    <row r="20" spans="1:20" s="2" customFormat="1" ht="12.75">
      <c r="A20" s="7" t="s">
        <v>18</v>
      </c>
      <c r="B20" s="36">
        <v>2815244</v>
      </c>
      <c r="C20" s="14">
        <v>2852784</v>
      </c>
      <c r="D20" s="14">
        <v>2888058</v>
      </c>
      <c r="E20" s="14">
        <v>2962107</v>
      </c>
      <c r="F20" s="14">
        <v>3003087</v>
      </c>
      <c r="G20" s="14">
        <v>3043760</v>
      </c>
      <c r="H20" s="37">
        <v>3013740</v>
      </c>
      <c r="I20" s="14">
        <v>3106430</v>
      </c>
      <c r="J20" s="14">
        <v>3137541</v>
      </c>
      <c r="K20" s="38">
        <v>3168133</v>
      </c>
      <c r="L20" s="14">
        <v>3198657</v>
      </c>
      <c r="M20" s="14">
        <v>3228198</v>
      </c>
      <c r="N20" s="14">
        <v>3373959</v>
      </c>
      <c r="O20" s="12">
        <v>3408510</v>
      </c>
      <c r="P20" s="12">
        <v>3442175</v>
      </c>
      <c r="Q20" s="12">
        <v>3474998</v>
      </c>
      <c r="R20" s="12">
        <v>3507003</v>
      </c>
      <c r="S20" s="12">
        <v>3479010</v>
      </c>
      <c r="T20" s="12">
        <v>3506853</v>
      </c>
    </row>
    <row r="21" spans="1:20" s="2" customFormat="1" ht="12.75">
      <c r="A21" s="7" t="s">
        <v>19</v>
      </c>
      <c r="B21" s="39">
        <v>3468594</v>
      </c>
      <c r="C21" s="14">
        <v>3494893</v>
      </c>
      <c r="D21" s="14">
        <v>3518595</v>
      </c>
      <c r="E21" s="14">
        <v>3568350</v>
      </c>
      <c r="F21" s="14">
        <v>3595886</v>
      </c>
      <c r="G21" s="14">
        <v>3623215</v>
      </c>
      <c r="H21" s="37">
        <v>3641397</v>
      </c>
      <c r="I21" s="14">
        <v>3742606</v>
      </c>
      <c r="J21" s="14">
        <v>3769977</v>
      </c>
      <c r="K21" s="38">
        <v>3766834</v>
      </c>
      <c r="L21" s="14">
        <v>3791315</v>
      </c>
      <c r="M21" s="14">
        <v>3815171</v>
      </c>
      <c r="N21" s="14">
        <v>3914421</v>
      </c>
      <c r="O21" s="12">
        <v>3943885</v>
      </c>
      <c r="P21" s="12">
        <v>3972202</v>
      </c>
      <c r="Q21" s="12">
        <v>3999415</v>
      </c>
      <c r="R21" s="12">
        <v>4025558</v>
      </c>
      <c r="S21" s="12">
        <v>3996496</v>
      </c>
      <c r="T21" s="12">
        <v>4018127</v>
      </c>
    </row>
    <row r="22" spans="1:20" s="2" customFormat="1" ht="12.75">
      <c r="A22" s="7" t="s">
        <v>20</v>
      </c>
      <c r="B22" s="39">
        <v>8008207</v>
      </c>
      <c r="C22" s="14">
        <v>8084667</v>
      </c>
      <c r="D22" s="14">
        <v>8161862</v>
      </c>
      <c r="E22" s="14">
        <v>8323911</v>
      </c>
      <c r="F22" s="14">
        <v>8413593</v>
      </c>
      <c r="G22" s="14">
        <v>8502603</v>
      </c>
      <c r="H22" s="37">
        <v>8486638</v>
      </c>
      <c r="I22" s="14">
        <v>8734194</v>
      </c>
      <c r="J22" s="14">
        <v>8810256</v>
      </c>
      <c r="K22" s="38">
        <v>8796032</v>
      </c>
      <c r="L22" s="14">
        <v>8864906</v>
      </c>
      <c r="M22" s="14">
        <v>8931028</v>
      </c>
      <c r="N22" s="14">
        <v>9208550</v>
      </c>
      <c r="O22" s="12">
        <v>9277727</v>
      </c>
      <c r="P22" s="12">
        <v>9345173</v>
      </c>
      <c r="Q22" s="12">
        <v>9410336</v>
      </c>
      <c r="R22" s="12">
        <v>9473266</v>
      </c>
      <c r="S22" s="12">
        <v>9496294</v>
      </c>
      <c r="T22" s="12">
        <v>9557071</v>
      </c>
    </row>
    <row r="23" spans="1:20" s="2" customFormat="1" ht="12.75">
      <c r="A23" s="7" t="s">
        <v>21</v>
      </c>
      <c r="B23" s="39">
        <v>2856629</v>
      </c>
      <c r="C23" s="14">
        <v>2887535</v>
      </c>
      <c r="D23" s="14">
        <v>2917664</v>
      </c>
      <c r="E23" s="14">
        <v>2980910</v>
      </c>
      <c r="F23" s="14">
        <v>3015912</v>
      </c>
      <c r="G23" s="14">
        <v>3050652</v>
      </c>
      <c r="H23" s="37">
        <v>3037231</v>
      </c>
      <c r="I23" s="14">
        <v>3127557</v>
      </c>
      <c r="J23" s="14">
        <v>3156108</v>
      </c>
      <c r="K23" s="38">
        <v>3120922</v>
      </c>
      <c r="L23" s="14">
        <v>3143384</v>
      </c>
      <c r="M23" s="14">
        <v>3165472</v>
      </c>
      <c r="N23" s="14">
        <v>3300935</v>
      </c>
      <c r="O23" s="12">
        <v>3321730</v>
      </c>
      <c r="P23" s="12">
        <v>3340932</v>
      </c>
      <c r="Q23" s="12">
        <v>3358963</v>
      </c>
      <c r="R23" s="12">
        <v>3375823</v>
      </c>
      <c r="S23" s="12">
        <v>3322820</v>
      </c>
      <c r="T23" s="12">
        <v>3337357</v>
      </c>
    </row>
    <row r="24" spans="1:20" s="2" customFormat="1" ht="12.75">
      <c r="A24" s="7" t="s">
        <v>22</v>
      </c>
      <c r="B24" s="39">
        <v>1817301</v>
      </c>
      <c r="C24" s="14">
        <v>1846039</v>
      </c>
      <c r="D24" s="14">
        <v>1874613</v>
      </c>
      <c r="E24" s="14">
        <v>1934596</v>
      </c>
      <c r="F24" s="14">
        <v>1967791</v>
      </c>
      <c r="G24" s="14">
        <v>2000738</v>
      </c>
      <c r="H24" s="37">
        <v>1939426</v>
      </c>
      <c r="I24" s="14">
        <v>1999374</v>
      </c>
      <c r="J24" s="14">
        <v>2019679</v>
      </c>
      <c r="K24" s="38">
        <v>2068031</v>
      </c>
      <c r="L24" s="14">
        <v>2089819</v>
      </c>
      <c r="M24" s="14">
        <v>2110867</v>
      </c>
      <c r="N24" s="14">
        <v>2195662</v>
      </c>
      <c r="O24" s="14">
        <v>2219574</v>
      </c>
      <c r="P24" s="14">
        <v>2242937</v>
      </c>
      <c r="Q24" s="14">
        <v>2265779</v>
      </c>
      <c r="R24" s="14">
        <v>2288116</v>
      </c>
      <c r="S24" s="14">
        <v>2278308</v>
      </c>
      <c r="T24" s="14">
        <v>2298696</v>
      </c>
    </row>
    <row r="25" spans="1:20" s="2" customFormat="1" ht="12.75">
      <c r="A25" s="7" t="s">
        <v>23</v>
      </c>
      <c r="B25" s="39">
        <v>13214114</v>
      </c>
      <c r="C25" s="14">
        <v>13323212</v>
      </c>
      <c r="D25" s="14">
        <v>13435612</v>
      </c>
      <c r="E25" s="14">
        <v>13682074</v>
      </c>
      <c r="F25" s="14">
        <v>13815334</v>
      </c>
      <c r="G25" s="14">
        <v>13950146</v>
      </c>
      <c r="H25" s="37">
        <v>14080670</v>
      </c>
      <c r="I25" s="14">
        <v>14502575</v>
      </c>
      <c r="J25" s="14">
        <v>14637364</v>
      </c>
      <c r="K25" s="38">
        <v>14021432</v>
      </c>
      <c r="L25" s="14">
        <v>14097534</v>
      </c>
      <c r="M25" s="14">
        <v>14175341</v>
      </c>
      <c r="N25" s="14">
        <v>15044137</v>
      </c>
      <c r="O25" s="14">
        <v>15126371</v>
      </c>
      <c r="P25" s="14">
        <v>15203934</v>
      </c>
      <c r="Q25" s="14">
        <v>15276566</v>
      </c>
      <c r="R25" s="14">
        <v>15344447</v>
      </c>
      <c r="S25" s="14">
        <v>14812617</v>
      </c>
      <c r="T25" s="14">
        <v>14873064</v>
      </c>
    </row>
    <row r="26" spans="1:20" s="2" customFormat="1" ht="12.75">
      <c r="A26" s="5" t="s">
        <v>24</v>
      </c>
      <c r="B26" s="8">
        <f t="shared" ref="B26:H26" si="3">+B27+B28+B29+B30</f>
        <v>73470763</v>
      </c>
      <c r="C26" s="9">
        <f t="shared" si="3"/>
        <v>74447456</v>
      </c>
      <c r="D26" s="9">
        <f t="shared" si="3"/>
        <v>75391969</v>
      </c>
      <c r="E26" s="9">
        <f t="shared" si="3"/>
        <v>77374720</v>
      </c>
      <c r="F26" s="9">
        <f t="shared" si="3"/>
        <v>78472017</v>
      </c>
      <c r="G26" s="9">
        <f t="shared" si="3"/>
        <v>79561095</v>
      </c>
      <c r="H26" s="10">
        <f t="shared" si="3"/>
        <v>77873342</v>
      </c>
      <c r="I26" s="9">
        <v>80187717</v>
      </c>
      <c r="J26" s="9">
        <v>80915332</v>
      </c>
      <c r="K26" s="11">
        <f>+K27+K28+K29+K30</f>
        <v>80353724</v>
      </c>
      <c r="L26" s="9">
        <v>80975616</v>
      </c>
      <c r="M26" s="9">
        <v>81565983</v>
      </c>
      <c r="N26" s="9">
        <v>84465570</v>
      </c>
      <c r="O26" s="9">
        <v>85115623</v>
      </c>
      <c r="P26" s="9">
        <v>85745520</v>
      </c>
      <c r="Q26" s="9">
        <v>86356952</v>
      </c>
      <c r="R26" s="9">
        <v>86949714</v>
      </c>
      <c r="S26" s="9">
        <v>87711946</v>
      </c>
      <c r="T26" s="9">
        <v>88371433</v>
      </c>
    </row>
    <row r="27" spans="1:20" s="2" customFormat="1" ht="12.75">
      <c r="A27" s="7" t="s">
        <v>25</v>
      </c>
      <c r="B27" s="36">
        <v>18127096</v>
      </c>
      <c r="C27" s="14">
        <v>18343517</v>
      </c>
      <c r="D27" s="14">
        <v>18553312</v>
      </c>
      <c r="E27" s="14">
        <v>18993720</v>
      </c>
      <c r="F27" s="14">
        <v>19237450</v>
      </c>
      <c r="G27" s="14">
        <v>19479356</v>
      </c>
      <c r="H27" s="37">
        <v>19273533</v>
      </c>
      <c r="I27" s="14">
        <v>19850072</v>
      </c>
      <c r="J27" s="14">
        <v>20033665</v>
      </c>
      <c r="K27" s="38">
        <v>19595309</v>
      </c>
      <c r="L27" s="14">
        <v>19728701</v>
      </c>
      <c r="M27" s="14">
        <v>19855332</v>
      </c>
      <c r="N27" s="14">
        <v>20593356</v>
      </c>
      <c r="O27" s="14">
        <v>20734097</v>
      </c>
      <c r="P27" s="14">
        <v>20869101</v>
      </c>
      <c r="Q27" s="14">
        <v>20997560</v>
      </c>
      <c r="R27" s="14">
        <v>21119536</v>
      </c>
      <c r="S27" s="14">
        <v>21040662</v>
      </c>
      <c r="T27" s="14">
        <v>21168791</v>
      </c>
    </row>
    <row r="28" spans="1:20" s="2" customFormat="1" ht="12.75">
      <c r="A28" s="7" t="s">
        <v>26</v>
      </c>
      <c r="B28" s="36">
        <v>3155016</v>
      </c>
      <c r="C28" s="14">
        <v>3201722</v>
      </c>
      <c r="D28" s="14">
        <v>3250219</v>
      </c>
      <c r="E28" s="14">
        <v>3352024</v>
      </c>
      <c r="F28" s="14">
        <v>3408365</v>
      </c>
      <c r="G28" s="14">
        <v>3464285</v>
      </c>
      <c r="H28" s="37">
        <v>3351669</v>
      </c>
      <c r="I28" s="14">
        <v>3453648</v>
      </c>
      <c r="J28" s="14">
        <v>3487199</v>
      </c>
      <c r="K28" s="38">
        <v>3512672</v>
      </c>
      <c r="L28" s="14">
        <v>3547055</v>
      </c>
      <c r="M28" s="14">
        <v>3578067</v>
      </c>
      <c r="N28" s="14">
        <v>3839366</v>
      </c>
      <c r="O28" s="14">
        <v>3885049</v>
      </c>
      <c r="P28" s="14">
        <v>3929911</v>
      </c>
      <c r="Q28" s="14">
        <v>3973697</v>
      </c>
      <c r="R28" s="14">
        <v>4016356</v>
      </c>
      <c r="S28" s="14">
        <v>3972388</v>
      </c>
      <c r="T28" s="14">
        <v>4018650</v>
      </c>
    </row>
    <row r="29" spans="1:20" s="2" customFormat="1" ht="12.75">
      <c r="A29" s="7" t="s">
        <v>27</v>
      </c>
      <c r="B29" s="36">
        <v>14558545</v>
      </c>
      <c r="C29" s="14">
        <v>14724475</v>
      </c>
      <c r="D29" s="14">
        <v>14879118</v>
      </c>
      <c r="E29" s="14">
        <v>15203750</v>
      </c>
      <c r="F29" s="14">
        <v>15383407</v>
      </c>
      <c r="G29" s="14">
        <v>15561720</v>
      </c>
      <c r="H29" s="37">
        <v>15420450</v>
      </c>
      <c r="I29" s="14">
        <v>15872362</v>
      </c>
      <c r="J29" s="14">
        <v>16010429</v>
      </c>
      <c r="K29" s="38">
        <v>15993583</v>
      </c>
      <c r="L29" s="14">
        <v>16112678</v>
      </c>
      <c r="M29" s="14">
        <v>16231365</v>
      </c>
      <c r="N29" s="14">
        <v>16369179</v>
      </c>
      <c r="O29" s="14">
        <v>16461173</v>
      </c>
      <c r="P29" s="14">
        <v>16550024</v>
      </c>
      <c r="Q29" s="14">
        <v>16635996</v>
      </c>
      <c r="R29" s="14">
        <v>16718956</v>
      </c>
      <c r="S29" s="14">
        <v>17159960</v>
      </c>
      <c r="T29" s="14">
        <v>17264943</v>
      </c>
    </row>
    <row r="30" spans="1:20" s="2" customFormat="1" ht="12.75">
      <c r="A30" s="7" t="s">
        <v>28</v>
      </c>
      <c r="B30" s="36">
        <v>37630106</v>
      </c>
      <c r="C30" s="14">
        <v>38177742</v>
      </c>
      <c r="D30" s="14">
        <v>38709320</v>
      </c>
      <c r="E30" s="14">
        <v>39825226</v>
      </c>
      <c r="F30" s="14">
        <v>40442795</v>
      </c>
      <c r="G30" s="14">
        <v>41055734</v>
      </c>
      <c r="H30" s="37">
        <v>39827690</v>
      </c>
      <c r="I30" s="14">
        <v>41011635</v>
      </c>
      <c r="J30" s="14">
        <v>41384039</v>
      </c>
      <c r="K30" s="38">
        <v>41252160</v>
      </c>
      <c r="L30" s="14">
        <v>41587182</v>
      </c>
      <c r="M30" s="14">
        <v>41901219</v>
      </c>
      <c r="N30" s="14">
        <v>43663669</v>
      </c>
      <c r="O30" s="14">
        <v>44035304</v>
      </c>
      <c r="P30" s="14">
        <v>44396484</v>
      </c>
      <c r="Q30" s="14">
        <v>44749699</v>
      </c>
      <c r="R30" s="14">
        <v>45094866</v>
      </c>
      <c r="S30" s="14">
        <v>45538936</v>
      </c>
      <c r="T30" s="14">
        <v>45919049</v>
      </c>
    </row>
    <row r="31" spans="1:20" s="2" customFormat="1" ht="12.75">
      <c r="A31" s="5" t="s">
        <v>29</v>
      </c>
      <c r="B31" s="8">
        <f t="shared" ref="B31:H31" si="4">+B32+B33+B34</f>
        <v>25453264</v>
      </c>
      <c r="C31" s="9">
        <f t="shared" si="4"/>
        <v>25734253</v>
      </c>
      <c r="D31" s="9">
        <f t="shared" si="4"/>
        <v>26025091</v>
      </c>
      <c r="E31" s="9">
        <f t="shared" si="4"/>
        <v>26635629</v>
      </c>
      <c r="F31" s="9">
        <f t="shared" si="4"/>
        <v>26973511</v>
      </c>
      <c r="G31" s="9">
        <f t="shared" si="4"/>
        <v>27308863</v>
      </c>
      <c r="H31" s="10">
        <f t="shared" si="4"/>
        <v>26733877</v>
      </c>
      <c r="I31" s="9">
        <v>27497970</v>
      </c>
      <c r="J31" s="9">
        <v>27719118</v>
      </c>
      <c r="K31" s="11">
        <f>+K32+K33+K34</f>
        <v>27384815</v>
      </c>
      <c r="L31" s="9">
        <v>27562433</v>
      </c>
      <c r="M31" s="9">
        <v>27731644</v>
      </c>
      <c r="N31" s="9">
        <v>28795762</v>
      </c>
      <c r="O31" s="9">
        <v>29016114</v>
      </c>
      <c r="P31" s="9">
        <v>29230180</v>
      </c>
      <c r="Q31" s="9">
        <v>29439773</v>
      </c>
      <c r="R31" s="9">
        <v>29644948</v>
      </c>
      <c r="S31" s="9">
        <v>29754036</v>
      </c>
      <c r="T31" s="9">
        <v>29975984</v>
      </c>
    </row>
    <row r="32" spans="1:20" s="2" customFormat="1" ht="12.75">
      <c r="A32" s="7" t="s">
        <v>30</v>
      </c>
      <c r="B32" s="36">
        <v>9694709</v>
      </c>
      <c r="C32" s="14">
        <v>9798006</v>
      </c>
      <c r="D32" s="14">
        <v>9906866</v>
      </c>
      <c r="E32" s="14">
        <v>10135388</v>
      </c>
      <c r="F32" s="14">
        <v>10261856</v>
      </c>
      <c r="G32" s="14">
        <v>10387378</v>
      </c>
      <c r="H32" s="37">
        <v>10284503</v>
      </c>
      <c r="I32" s="14">
        <v>10590169</v>
      </c>
      <c r="J32" s="14">
        <v>10686247</v>
      </c>
      <c r="K32" s="38">
        <v>10439601</v>
      </c>
      <c r="L32" s="14">
        <v>10512349</v>
      </c>
      <c r="M32" s="14">
        <v>10577755</v>
      </c>
      <c r="N32" s="14">
        <v>10997465</v>
      </c>
      <c r="O32" s="14">
        <v>11081692</v>
      </c>
      <c r="P32" s="14">
        <v>11163018</v>
      </c>
      <c r="Q32" s="14">
        <v>11242720</v>
      </c>
      <c r="R32" s="14">
        <v>11320892</v>
      </c>
      <c r="S32" s="14">
        <v>11348937</v>
      </c>
      <c r="T32" s="14">
        <v>11433957</v>
      </c>
    </row>
    <row r="33" spans="1:20" s="2" customFormat="1" ht="12.75">
      <c r="A33" s="7" t="s">
        <v>31</v>
      </c>
      <c r="B33" s="36">
        <v>5448736</v>
      </c>
      <c r="C33" s="14">
        <v>5527707</v>
      </c>
      <c r="D33" s="14">
        <v>5607233</v>
      </c>
      <c r="E33" s="14">
        <v>5774178</v>
      </c>
      <c r="F33" s="14">
        <v>5866568</v>
      </c>
      <c r="G33" s="14">
        <v>5958266</v>
      </c>
      <c r="H33" s="37">
        <v>5866487</v>
      </c>
      <c r="I33" s="14">
        <v>6052587</v>
      </c>
      <c r="J33" s="14">
        <v>6118743</v>
      </c>
      <c r="K33" s="38">
        <v>6249682</v>
      </c>
      <c r="L33" s="14">
        <v>6317054</v>
      </c>
      <c r="M33" s="14">
        <v>6383286</v>
      </c>
      <c r="N33" s="14">
        <v>6634254</v>
      </c>
      <c r="O33" s="14">
        <v>6727148</v>
      </c>
      <c r="P33" s="14">
        <v>6819190</v>
      </c>
      <c r="Q33" s="14">
        <v>6910553</v>
      </c>
      <c r="R33" s="14">
        <v>7001161</v>
      </c>
      <c r="S33" s="14">
        <v>7075494</v>
      </c>
      <c r="T33" s="14">
        <v>7164788</v>
      </c>
    </row>
    <row r="34" spans="1:20" s="2" customFormat="1" ht="12.75">
      <c r="A34" s="7" t="s">
        <v>32</v>
      </c>
      <c r="B34" s="36">
        <v>10309819</v>
      </c>
      <c r="C34" s="14">
        <v>10408540</v>
      </c>
      <c r="D34" s="14">
        <v>10510992</v>
      </c>
      <c r="E34" s="14">
        <v>10726063</v>
      </c>
      <c r="F34" s="14">
        <v>10845087</v>
      </c>
      <c r="G34" s="14">
        <v>10963219</v>
      </c>
      <c r="H34" s="37">
        <v>10582887</v>
      </c>
      <c r="I34" s="14">
        <v>10855214</v>
      </c>
      <c r="J34" s="14">
        <v>10914128</v>
      </c>
      <c r="K34" s="38">
        <v>10695532</v>
      </c>
      <c r="L34" s="14">
        <v>10733030</v>
      </c>
      <c r="M34" s="14">
        <v>10770603</v>
      </c>
      <c r="N34" s="14">
        <v>11164043</v>
      </c>
      <c r="O34" s="14">
        <v>11207274</v>
      </c>
      <c r="P34" s="14">
        <v>11247972</v>
      </c>
      <c r="Q34" s="14">
        <v>11286500</v>
      </c>
      <c r="R34" s="14">
        <v>11322895</v>
      </c>
      <c r="S34" s="14">
        <v>11329605</v>
      </c>
      <c r="T34" s="14">
        <v>11377239</v>
      </c>
    </row>
    <row r="35" spans="1:20" s="2" customFormat="1" ht="12.75">
      <c r="A35" s="5" t="s">
        <v>33</v>
      </c>
      <c r="B35" s="8">
        <f t="shared" ref="B35:H35" si="5">+B36+B37+B38+B39</f>
        <v>11885529</v>
      </c>
      <c r="C35" s="9">
        <f t="shared" si="5"/>
        <v>12101540</v>
      </c>
      <c r="D35" s="9">
        <f t="shared" si="5"/>
        <v>12317271</v>
      </c>
      <c r="E35" s="9">
        <f t="shared" si="5"/>
        <v>12770141</v>
      </c>
      <c r="F35" s="9">
        <f t="shared" si="5"/>
        <v>13020767</v>
      </c>
      <c r="G35" s="9">
        <f t="shared" si="5"/>
        <v>13269517</v>
      </c>
      <c r="H35" s="10">
        <f t="shared" si="5"/>
        <v>13223393</v>
      </c>
      <c r="I35" s="9">
        <v>13695944</v>
      </c>
      <c r="J35" s="9">
        <v>13895375</v>
      </c>
      <c r="K35" s="11">
        <f>+K36+K37+K38+K39</f>
        <v>14050340</v>
      </c>
      <c r="L35" s="9">
        <v>14244192</v>
      </c>
      <c r="M35" s="9">
        <v>14423952</v>
      </c>
      <c r="N35" s="9">
        <v>14993191</v>
      </c>
      <c r="O35" s="9">
        <v>15219608</v>
      </c>
      <c r="P35" s="9">
        <v>15442232</v>
      </c>
      <c r="Q35" s="9">
        <v>15660988</v>
      </c>
      <c r="R35" s="9">
        <v>15875907</v>
      </c>
      <c r="S35" s="9">
        <v>16085885</v>
      </c>
      <c r="T35" s="9">
        <v>16297074</v>
      </c>
    </row>
    <row r="36" spans="1:20" s="2" customFormat="1" ht="12.75">
      <c r="A36" s="7" t="s">
        <v>34</v>
      </c>
      <c r="B36" s="36">
        <v>2111036</v>
      </c>
      <c r="C36" s="14">
        <v>2140624</v>
      </c>
      <c r="D36" s="14">
        <v>2169688</v>
      </c>
      <c r="E36" s="14">
        <v>2230702</v>
      </c>
      <c r="F36" s="14">
        <v>2264468</v>
      </c>
      <c r="G36" s="14">
        <v>2297981</v>
      </c>
      <c r="H36" s="37">
        <v>2265813</v>
      </c>
      <c r="I36" s="14">
        <v>2336058</v>
      </c>
      <c r="J36" s="14">
        <v>2360498</v>
      </c>
      <c r="K36" s="38">
        <v>2449341</v>
      </c>
      <c r="L36" s="14">
        <v>2477542</v>
      </c>
      <c r="M36" s="14">
        <v>2505088</v>
      </c>
      <c r="N36" s="14">
        <v>2587269</v>
      </c>
      <c r="O36" s="14">
        <v>2619657</v>
      </c>
      <c r="P36" s="14">
        <v>2651235</v>
      </c>
      <c r="Q36" s="14">
        <v>2682386</v>
      </c>
      <c r="R36" s="14">
        <v>2713147</v>
      </c>
      <c r="S36" s="14">
        <v>2748023</v>
      </c>
      <c r="T36" s="14">
        <v>2778986</v>
      </c>
    </row>
    <row r="37" spans="1:20" s="2" customFormat="1" ht="12.75">
      <c r="A37" s="7" t="s">
        <v>35</v>
      </c>
      <c r="B37" s="36">
        <v>2560584</v>
      </c>
      <c r="C37" s="14">
        <v>2604742</v>
      </c>
      <c r="D37" s="14">
        <v>2651335</v>
      </c>
      <c r="E37" s="14">
        <v>2749145</v>
      </c>
      <c r="F37" s="14">
        <v>2803274</v>
      </c>
      <c r="G37" s="14">
        <v>2856999</v>
      </c>
      <c r="H37" s="37">
        <v>2854642</v>
      </c>
      <c r="I37" s="14">
        <v>2957732</v>
      </c>
      <c r="J37" s="14">
        <v>3001692</v>
      </c>
      <c r="K37" s="38">
        <v>3033991</v>
      </c>
      <c r="L37" s="14">
        <v>3075936</v>
      </c>
      <c r="M37" s="14">
        <v>3115336</v>
      </c>
      <c r="N37" s="14">
        <v>3182113</v>
      </c>
      <c r="O37" s="14">
        <v>3224357</v>
      </c>
      <c r="P37" s="14">
        <v>3265486</v>
      </c>
      <c r="Q37" s="14">
        <v>3305531</v>
      </c>
      <c r="R37" s="14">
        <v>3344544</v>
      </c>
      <c r="S37" s="14">
        <v>3441998</v>
      </c>
      <c r="T37" s="14">
        <v>3484466</v>
      </c>
    </row>
    <row r="38" spans="1:20" s="2" customFormat="1" ht="12.75">
      <c r="A38" s="7" t="s">
        <v>36</v>
      </c>
      <c r="B38" s="36">
        <v>5116462</v>
      </c>
      <c r="C38" s="14">
        <v>5210335</v>
      </c>
      <c r="D38" s="14">
        <v>5306459</v>
      </c>
      <c r="E38" s="14">
        <v>5508245</v>
      </c>
      <c r="F38" s="14">
        <v>5619917</v>
      </c>
      <c r="G38" s="14">
        <v>5730753</v>
      </c>
      <c r="H38" s="37">
        <v>5647035</v>
      </c>
      <c r="I38" s="14">
        <v>5844996</v>
      </c>
      <c r="J38" s="14">
        <v>5926300</v>
      </c>
      <c r="K38" s="38">
        <v>6004045</v>
      </c>
      <c r="L38" s="14">
        <v>6080716</v>
      </c>
      <c r="M38" s="14">
        <v>6154996</v>
      </c>
      <c r="N38" s="14">
        <v>6434048</v>
      </c>
      <c r="O38" s="14">
        <v>6523222</v>
      </c>
      <c r="P38" s="14">
        <v>6610681</v>
      </c>
      <c r="Q38" s="14">
        <v>6695855</v>
      </c>
      <c r="R38" s="14">
        <v>6778772</v>
      </c>
      <c r="S38" s="12">
        <v>6921161</v>
      </c>
      <c r="T38" s="12">
        <v>7018354</v>
      </c>
    </row>
    <row r="39" spans="1:20" s="2" customFormat="1" ht="12.75">
      <c r="A39" s="40" t="s">
        <v>37</v>
      </c>
      <c r="B39" s="41">
        <v>2097447</v>
      </c>
      <c r="C39" s="42">
        <v>2145839</v>
      </c>
      <c r="D39" s="42">
        <v>2189789</v>
      </c>
      <c r="E39" s="42">
        <v>2282049</v>
      </c>
      <c r="F39" s="42">
        <v>2333108</v>
      </c>
      <c r="G39" s="42">
        <v>2383784</v>
      </c>
      <c r="H39" s="43">
        <v>2455903</v>
      </c>
      <c r="I39" s="42">
        <v>2557158</v>
      </c>
      <c r="J39" s="42">
        <v>2606885</v>
      </c>
      <c r="K39" s="44">
        <v>2562963</v>
      </c>
      <c r="L39" s="42">
        <v>2609998</v>
      </c>
      <c r="M39" s="42">
        <v>2648532</v>
      </c>
      <c r="N39" s="42">
        <v>2789761</v>
      </c>
      <c r="O39" s="42">
        <v>2852372</v>
      </c>
      <c r="P39" s="42">
        <v>2914830</v>
      </c>
      <c r="Q39" s="42">
        <v>2977216</v>
      </c>
      <c r="R39" s="42">
        <v>3039444</v>
      </c>
      <c r="S39" s="15">
        <v>2974703</v>
      </c>
      <c r="T39" s="15">
        <v>3015268</v>
      </c>
    </row>
    <row r="40" spans="1:20">
      <c r="A40" s="7" t="s">
        <v>38</v>
      </c>
      <c r="H40" s="3"/>
      <c r="K40" s="3"/>
    </row>
    <row r="41" spans="1:20" ht="15" customHeight="1">
      <c r="A41" s="21" t="s">
        <v>39</v>
      </c>
      <c r="B41" s="21"/>
      <c r="C41" s="21"/>
      <c r="D41" s="21"/>
      <c r="E41" s="21"/>
      <c r="F41" s="21"/>
      <c r="G41" s="21"/>
      <c r="H41" s="21"/>
      <c r="I41" s="21"/>
      <c r="J41" s="21"/>
      <c r="K41" s="21"/>
      <c r="L41" s="21"/>
      <c r="M41" s="21"/>
      <c r="N41" s="21"/>
      <c r="O41" s="21"/>
      <c r="P41" s="21"/>
      <c r="Q41" s="21"/>
      <c r="R41" s="21"/>
      <c r="S41" s="21"/>
      <c r="T41" s="21"/>
    </row>
    <row r="42" spans="1:20" ht="16.5" customHeight="1">
      <c r="A42" s="23" t="s">
        <v>40</v>
      </c>
      <c r="B42" s="23"/>
      <c r="C42" s="23"/>
      <c r="D42" s="23"/>
      <c r="E42" s="23"/>
      <c r="F42" s="23"/>
      <c r="G42" s="23"/>
      <c r="H42" s="23"/>
      <c r="I42" s="23"/>
      <c r="J42" s="23"/>
      <c r="K42" s="23"/>
      <c r="L42" s="23"/>
      <c r="M42" s="23"/>
      <c r="N42" s="23"/>
      <c r="O42" s="23"/>
      <c r="P42" s="23"/>
      <c r="Q42" s="23"/>
      <c r="R42" s="23"/>
      <c r="S42" s="23"/>
      <c r="T42" s="23"/>
    </row>
    <row r="43" spans="1:20" s="16" customFormat="1" ht="16.5" customHeight="1">
      <c r="A43" s="19" t="s">
        <v>41</v>
      </c>
      <c r="B43" s="19"/>
      <c r="C43" s="19"/>
      <c r="D43" s="19"/>
      <c r="E43" s="19"/>
      <c r="F43" s="19"/>
      <c r="G43" s="19"/>
      <c r="H43" s="19"/>
      <c r="I43" s="19"/>
      <c r="J43" s="19"/>
      <c r="K43" s="19"/>
      <c r="L43" s="19"/>
      <c r="M43" s="19"/>
      <c r="N43" s="19"/>
      <c r="O43" s="19"/>
      <c r="P43" s="19"/>
      <c r="Q43" s="19"/>
      <c r="R43" s="19"/>
      <c r="S43" s="19"/>
      <c r="T43" s="19"/>
    </row>
    <row r="44" spans="1:20" s="16" customFormat="1" ht="16.5" customHeight="1">
      <c r="A44" s="23" t="s">
        <v>42</v>
      </c>
      <c r="B44" s="23"/>
      <c r="C44" s="23"/>
      <c r="D44" s="23"/>
      <c r="E44" s="23"/>
      <c r="F44" s="23"/>
      <c r="G44" s="23"/>
      <c r="H44" s="23"/>
      <c r="I44" s="23"/>
      <c r="J44" s="23"/>
      <c r="K44" s="23"/>
      <c r="L44" s="23"/>
      <c r="M44" s="23"/>
      <c r="N44" s="23"/>
      <c r="O44" s="23"/>
      <c r="P44" s="23"/>
      <c r="Q44" s="23"/>
      <c r="R44" s="23"/>
      <c r="S44" s="23"/>
      <c r="T44" s="23"/>
    </row>
    <row r="45" spans="1:20" s="16" customFormat="1" ht="16.5" customHeight="1">
      <c r="A45" s="19" t="s">
        <v>43</v>
      </c>
      <c r="B45" s="19"/>
      <c r="C45" s="19"/>
      <c r="D45" s="19"/>
      <c r="E45" s="19"/>
      <c r="F45" s="19"/>
      <c r="G45" s="19"/>
      <c r="H45" s="19"/>
      <c r="I45" s="19"/>
      <c r="J45" s="19"/>
      <c r="K45" s="19"/>
      <c r="L45" s="19"/>
      <c r="M45" s="19"/>
      <c r="N45" s="19"/>
      <c r="O45" s="19"/>
      <c r="P45" s="19"/>
      <c r="Q45" s="19"/>
      <c r="R45" s="19"/>
      <c r="S45" s="19"/>
      <c r="T45" s="19"/>
    </row>
    <row r="46" spans="1:20" s="16" customFormat="1" ht="16.5" customHeight="1">
      <c r="A46" s="19" t="s">
        <v>44</v>
      </c>
      <c r="B46" s="19"/>
      <c r="C46" s="19"/>
      <c r="D46" s="19"/>
      <c r="E46" s="19"/>
      <c r="F46" s="19"/>
      <c r="G46" s="19"/>
      <c r="H46" s="19"/>
      <c r="I46" s="19"/>
      <c r="J46" s="19"/>
      <c r="K46" s="19"/>
      <c r="L46" s="19"/>
      <c r="M46" s="19"/>
      <c r="N46" s="19"/>
      <c r="O46" s="19"/>
      <c r="P46" s="19"/>
      <c r="Q46" s="19"/>
      <c r="R46" s="19"/>
      <c r="S46" s="19"/>
      <c r="T46" s="19"/>
    </row>
    <row r="47" spans="1:20" s="16" customFormat="1" ht="18" customHeight="1">
      <c r="A47" s="19" t="s">
        <v>45</v>
      </c>
      <c r="B47" s="19"/>
      <c r="C47" s="19"/>
      <c r="D47" s="19"/>
      <c r="E47" s="19"/>
      <c r="F47" s="19"/>
      <c r="G47" s="19"/>
      <c r="H47" s="19"/>
      <c r="I47" s="19"/>
      <c r="J47" s="19"/>
      <c r="K47" s="19"/>
      <c r="L47" s="19"/>
      <c r="M47" s="19"/>
      <c r="N47" s="19"/>
      <c r="O47" s="19"/>
      <c r="P47" s="19"/>
      <c r="Q47" s="19"/>
      <c r="R47" s="19"/>
      <c r="S47" s="19"/>
      <c r="T47" s="19"/>
    </row>
    <row r="48" spans="1:20" s="16" customFormat="1" ht="30.75" customHeight="1">
      <c r="A48" s="19" t="s">
        <v>46</v>
      </c>
      <c r="B48" s="19"/>
      <c r="C48" s="19"/>
      <c r="D48" s="19"/>
      <c r="E48" s="19"/>
      <c r="F48" s="19"/>
      <c r="G48" s="19"/>
      <c r="H48" s="19"/>
      <c r="I48" s="19"/>
      <c r="J48" s="19"/>
      <c r="K48" s="19"/>
      <c r="L48" s="19"/>
      <c r="M48" s="19"/>
      <c r="N48" s="19"/>
      <c r="O48" s="19"/>
      <c r="P48" s="19"/>
      <c r="Q48" s="19"/>
      <c r="R48" s="19"/>
      <c r="S48" s="19"/>
      <c r="T48" s="19"/>
    </row>
    <row r="49" spans="1:20" s="16" customFormat="1" ht="30.75" customHeight="1">
      <c r="A49" s="19" t="s">
        <v>47</v>
      </c>
      <c r="B49" s="19"/>
      <c r="C49" s="19"/>
      <c r="D49" s="19"/>
      <c r="E49" s="19"/>
      <c r="F49" s="19"/>
      <c r="G49" s="19"/>
      <c r="H49" s="19"/>
      <c r="I49" s="19"/>
      <c r="J49" s="19"/>
      <c r="K49" s="19"/>
      <c r="L49" s="19"/>
      <c r="M49" s="19"/>
      <c r="N49" s="19"/>
      <c r="O49" s="19"/>
      <c r="P49" s="19"/>
      <c r="Q49" s="19"/>
      <c r="R49" s="19"/>
      <c r="S49" s="19"/>
      <c r="T49" s="19"/>
    </row>
    <row r="50" spans="1:20" s="16" customFormat="1" ht="16.5" customHeight="1">
      <c r="A50" s="20"/>
      <c r="B50" s="19"/>
      <c r="C50" s="19"/>
      <c r="D50" s="19"/>
      <c r="E50" s="19"/>
      <c r="F50" s="19"/>
      <c r="G50" s="19"/>
      <c r="H50" s="19"/>
      <c r="I50" s="19"/>
      <c r="J50" s="19"/>
      <c r="K50" s="19"/>
      <c r="L50" s="19"/>
      <c r="M50" s="19"/>
      <c r="N50" s="19"/>
      <c r="O50" s="19"/>
      <c r="P50" s="19"/>
      <c r="Q50" s="19"/>
      <c r="R50" s="19"/>
      <c r="S50" s="19"/>
      <c r="T50" s="19"/>
    </row>
    <row r="51" spans="1:20" s="16" customFormat="1" ht="16.5" customHeight="1">
      <c r="A51" s="19"/>
      <c r="B51" s="19"/>
      <c r="C51" s="19"/>
      <c r="D51" s="19"/>
      <c r="E51" s="19"/>
      <c r="F51" s="19"/>
      <c r="G51" s="19"/>
      <c r="H51" s="19"/>
      <c r="I51" s="19"/>
      <c r="J51" s="19"/>
      <c r="K51" s="19"/>
      <c r="L51" s="19"/>
      <c r="M51" s="19"/>
      <c r="N51" s="19"/>
      <c r="O51" s="19"/>
      <c r="P51" s="19"/>
      <c r="Q51" s="19"/>
      <c r="R51" s="19"/>
      <c r="S51" s="19"/>
      <c r="T51" s="19"/>
    </row>
    <row r="52" spans="1:20" s="16" customFormat="1" ht="16.5" customHeight="1">
      <c r="A52" s="19"/>
      <c r="B52" s="19"/>
      <c r="C52" s="19"/>
      <c r="D52" s="19"/>
      <c r="E52" s="19"/>
      <c r="F52" s="19"/>
      <c r="G52" s="19"/>
      <c r="H52" s="19"/>
      <c r="I52" s="19"/>
      <c r="J52" s="19"/>
      <c r="K52" s="19"/>
      <c r="L52" s="19"/>
      <c r="M52" s="19"/>
      <c r="N52" s="19"/>
      <c r="O52" s="19"/>
      <c r="P52" s="19"/>
      <c r="Q52" s="19"/>
      <c r="R52" s="19"/>
      <c r="S52" s="19"/>
      <c r="T52" s="19"/>
    </row>
    <row r="53" spans="1:20" s="16" customFormat="1" ht="16.5" customHeight="1">
      <c r="A53" s="19"/>
      <c r="B53" s="19"/>
      <c r="C53" s="19"/>
      <c r="D53" s="19"/>
      <c r="E53" s="19"/>
      <c r="F53" s="19"/>
      <c r="G53" s="19"/>
      <c r="H53" s="19"/>
      <c r="I53" s="19"/>
      <c r="J53" s="19"/>
      <c r="K53" s="19"/>
      <c r="L53" s="19"/>
      <c r="M53" s="19"/>
      <c r="N53" s="19"/>
      <c r="O53" s="19"/>
      <c r="P53" s="19"/>
      <c r="Q53" s="19"/>
      <c r="R53" s="19"/>
      <c r="S53" s="19"/>
      <c r="T53" s="19"/>
    </row>
    <row r="54" spans="1:20" s="16" customFormat="1" ht="16.5" customHeight="1">
      <c r="A54" s="19"/>
      <c r="B54" s="19"/>
      <c r="C54" s="19"/>
      <c r="D54" s="19"/>
      <c r="E54" s="19"/>
      <c r="F54" s="19"/>
      <c r="G54" s="19"/>
      <c r="H54" s="19"/>
      <c r="I54" s="19"/>
      <c r="J54" s="19"/>
      <c r="K54" s="19"/>
      <c r="L54" s="19"/>
      <c r="M54" s="19"/>
      <c r="N54" s="19"/>
      <c r="O54" s="19"/>
      <c r="P54" s="19"/>
      <c r="Q54" s="19"/>
      <c r="R54" s="19"/>
      <c r="S54" s="19"/>
      <c r="T54" s="19"/>
    </row>
    <row r="55" spans="1:20" s="16" customFormat="1" ht="16.5" customHeight="1">
      <c r="A55" s="19"/>
      <c r="B55" s="19"/>
      <c r="C55" s="19"/>
      <c r="D55" s="19"/>
      <c r="E55" s="19"/>
      <c r="F55" s="19"/>
      <c r="G55" s="19"/>
      <c r="H55" s="19"/>
      <c r="I55" s="19"/>
      <c r="J55" s="19"/>
      <c r="K55" s="19"/>
      <c r="L55" s="19"/>
      <c r="M55" s="19"/>
      <c r="N55" s="19"/>
      <c r="O55" s="19"/>
      <c r="P55" s="19"/>
      <c r="Q55" s="19"/>
      <c r="R55" s="19"/>
      <c r="S55" s="19"/>
      <c r="T55" s="19"/>
    </row>
    <row r="56" spans="1:20" s="16" customFormat="1" ht="16.5" customHeight="1">
      <c r="A56" s="19"/>
      <c r="B56" s="19"/>
      <c r="C56" s="19"/>
      <c r="D56" s="19"/>
      <c r="E56" s="19"/>
      <c r="F56" s="19"/>
      <c r="G56" s="19"/>
      <c r="H56" s="19"/>
      <c r="I56" s="19"/>
      <c r="J56" s="19"/>
      <c r="K56" s="19"/>
      <c r="L56" s="19"/>
      <c r="M56" s="19"/>
      <c r="N56" s="19"/>
      <c r="O56" s="19"/>
      <c r="P56" s="19"/>
      <c r="Q56" s="19"/>
      <c r="R56" s="19"/>
      <c r="S56" s="19"/>
      <c r="T56" s="19"/>
    </row>
  </sheetData>
  <sheetProtection selectLockedCells="1" selectUnlockedCells="1"/>
  <mergeCells count="19">
    <mergeCell ref="A43:T43"/>
    <mergeCell ref="A44:T44"/>
    <mergeCell ref="A45:T45"/>
    <mergeCell ref="A46:T46"/>
    <mergeCell ref="A41:T41"/>
    <mergeCell ref="A2:T2"/>
    <mergeCell ref="A1:T1"/>
    <mergeCell ref="B4:T4"/>
    <mergeCell ref="A42:T42"/>
    <mergeCell ref="A47:T47"/>
    <mergeCell ref="A55:T55"/>
    <mergeCell ref="A56:T56"/>
    <mergeCell ref="A49:T49"/>
    <mergeCell ref="A50:T50"/>
    <mergeCell ref="A51:T51"/>
    <mergeCell ref="A52:T52"/>
    <mergeCell ref="A53:T53"/>
    <mergeCell ref="A54:T54"/>
    <mergeCell ref="A48:T48"/>
  </mergeCells>
  <phoneticPr fontId="0" type="noConversion"/>
  <pageMargins left="0.51180555555555551" right="0.51180555555555551" top="0.78749999999999998" bottom="0.78749999999999998" header="0.51180555555555551" footer="0.51180555555555551"/>
  <pageSetup paperSize="9" scale="55" firstPageNumber="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A2F3A-1A58-4DA7-97BB-B9F3A42CAA8C}">
  <dimension ref="A1"/>
  <sheetViews>
    <sheetView workbookViewId="0">
      <pane ySplit="1" activePane="bottomLeft"/>
      <selection pane="bottomLeft"/>
      <selection activeCell="B43" sqref="B43"/>
    </sheetView>
  </sheetViews>
  <sheetFormatPr defaultColWidth="8.85546875" defaultRowHeight="15"/>
  <sheetData/>
  <sheetProtection selectLockedCells="1" selectUnlockedCells="1"/>
  <phoneticPr fontId="0" type="noConversion"/>
  <pageMargins left="0.51180555555555551" right="0.51180555555555551" top="0.78749999999999998" bottom="0.78749999999999998" header="0.51180555555555551" footer="0.51180555555555551"/>
  <pageSetup paperSize="9" firstPageNumber="0"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A2280-171D-4A8E-845C-FE5530EC5D11}">
  <dimension ref="A1"/>
  <sheetViews>
    <sheetView workbookViewId="0">
      <pane ySplit="1" activePane="bottomLeft"/>
      <selection pane="bottomLeft"/>
    </sheetView>
  </sheetViews>
  <sheetFormatPr defaultColWidth="8.85546875" defaultRowHeight="15"/>
  <sheetData/>
  <sheetProtection selectLockedCells="1" selectUnlockedCells="1"/>
  <phoneticPr fontId="0" type="noConversion"/>
  <pageMargins left="0.51180555555555551" right="0.51180555555555551" top="0.78749999999999998" bottom="0.78749999999999998" header="0.51180555555555551" footer="0.51180555555555551"/>
  <pageSetup paperSize="9" firstPageNumber="0"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Leila Ervatti</dc:creator>
  <cp:keywords/>
  <dc:description/>
  <cp:lastModifiedBy>X</cp:lastModifiedBy>
  <cp:revision/>
  <dcterms:created xsi:type="dcterms:W3CDTF">2012-12-07T13:19:33Z</dcterms:created>
  <dcterms:modified xsi:type="dcterms:W3CDTF">2026-05-24T17:21:58Z</dcterms:modified>
  <cp:category/>
  <cp:contentStatus/>
</cp:coreProperties>
</file>